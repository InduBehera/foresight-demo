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8000"/>
  </bookViews>
  <sheets>
    <sheet name="Model Information" sheetId="1" r:id="rId1"/>
    <sheet name="Model Architecture" sheetId="2" r:id="rId2"/>
    <sheet name="Input Register" sheetId="3" r:id="rId3"/>
    <sheet name="Assumptions" sheetId="4" r:id="rId4"/>
    <sheet name="Forecast Outputs" sheetId="5" r:id="rId5"/>
    <sheet name="Patient Potential Tower" sheetId="6" r:id="rId6"/>
    <sheet name="Validation" sheetId="7" r:id="rId7"/>
  </sheet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0.0%;[Red](0.0%);-"/>
    <numFmt numFmtId="166" formatCode="$#,##0;[Red]($#,##0);-"/>
    <numFmt numFmtId="167" formatCode="0.00"/>
  </numFmts>
  <fonts count="6">
    <font>
      <sz val="10"/>
      <name val="Aptos"/>
    </font>
    <font>
      <b/>
      <color rgb="FFFFFFFF"/>
      <sz val="10"/>
      <name val="Aptos"/>
    </font>
    <font>
      <b/>
      <color rgb="FFFFFFFF"/>
      <sz val="10"/>
      <name val="Aptos"/>
    </font>
    <font>
      <color rgb="FF0000FF"/>
      <sz val="10"/>
      <name val="Aptos"/>
    </font>
    <font>
      <color rgb="FF008000"/>
      <sz val="10"/>
      <name val="Aptos"/>
    </font>
    <font>
      <color rgb="FF666666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C8102E"/>
        <bgColor indexed="64"/>
      </patternFill>
    </fill>
    <fill>
      <patternFill patternType="solid">
        <fgColor rgb="FF17191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FF4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/>
    <xf numFmtId="164" fontId="0" fillId="0" borderId="0" xfId="0" applyNumberFormat="1"/>
    <xf numFmtId="165" fontId="3" fillId="4" borderId="1" xfId="0" applyFont="1" applyFill="1" applyNumberFormat="1"/>
    <xf numFmtId="165" fontId="0" fillId="0" borderId="0" xfId="0" applyNumberFormat="1"/>
    <xf numFmtId="166" fontId="0" fillId="0" borderId="0" xfId="0" applyNumberFormat="1"/>
    <xf numFmtId="0" fontId="4" fillId="5" borderId="1" xfId="0" applyFont="1" applyFill="1"/>
    <xf numFmtId="0" fontId="5" fillId="0" borderId="0" xfId="0" applyFont="1"/>
    <xf numFmtId="166" fontId="3" fillId="4" borderId="1" xfId="0" applyFont="1" applyFill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dimension ref="A1:B12"/>
  <cols>
    <col min="1" max="1" width="32" customWidth="1"/>
    <col min="2" max="2" width="90" customWidth="1"/>
  </cols>
  <sheetData>
    <row r="1" ht="22" customHeight="1">
      <c r="A1" s="2" t="inlineStr">
        <is>
          <t xml:space="preserve">Foresight Generated EPI Model</t>
        </is>
      </c>
    </row>
    <row r="2" ht="18" customHeight="1"/>
    <row r="3" ht="18" customHeight="1">
      <c r="A3" s="1" t="inlineStr">
        <is>
          <t xml:space="preserve">Field</t>
        </is>
      </c>
      <c r="B3" s="1" t="inlineStr">
        <is>
          <t xml:space="preserve">Value</t>
        </is>
      </c>
    </row>
    <row r="4" ht="18" customHeight="1">
      <c r="A4" s="0" t="inlineStr">
        <is>
          <t xml:space="preserve">Model name</t>
        </is>
      </c>
      <c r="B4" s="0" t="inlineStr">
        <is>
          <t xml:space="preserve">Atopic Dermatitis - Product X</t>
        </is>
      </c>
    </row>
    <row r="5" ht="18" customHeight="1">
      <c r="A5" s="0" t="inlineStr">
        <is>
          <t xml:space="preserve">Disease / indication</t>
        </is>
      </c>
      <c r="B5" s="0" t="inlineStr">
        <is>
          <t xml:space="preserve">Atopic Dermatitis</t>
        </is>
      </c>
    </row>
    <row r="6" ht="18" customHeight="1">
      <c r="A6" s="0" t="inlineStr">
        <is>
          <t xml:space="preserve">Country</t>
        </is>
      </c>
      <c r="B6" s="0" t="inlineStr">
        <is>
          <t xml:space="preserve">United States</t>
        </is>
      </c>
    </row>
    <row r="7" ht="18" customHeight="1">
      <c r="A7" s="0" t="inlineStr">
        <is>
          <t xml:space="preserve">Start year</t>
        </is>
      </c>
      <c r="B7" s="0">
        <v>2026</v>
      </c>
    </row>
    <row r="8" ht="18" customHeight="1">
      <c r="A8" s="0" t="inlineStr">
        <is>
          <t xml:space="preserve">End year</t>
        </is>
      </c>
      <c r="B8" s="0">
        <v>2040</v>
      </c>
    </row>
    <row r="9" ht="18" customHeight="1">
      <c r="A9" s="0" t="inlineStr">
        <is>
          <t xml:space="preserve">Horizon</t>
        </is>
      </c>
      <c r="B9" s="0">
        <v>15</v>
      </c>
    </row>
    <row r="10" ht="18" customHeight="1">
      <c r="A10" s="0" t="inlineStr">
        <is>
          <t xml:space="preserve">Generated</t>
        </is>
      </c>
      <c r="B10" s="0" t="inlineStr">
        <is>
          <t xml:space="preserve">2026-07-24T08:06:49.079Z</t>
        </is>
      </c>
    </row>
    <row r="11" ht="18" customHeight="1">
      <c r="A11" s="0" t="inlineStr">
        <is>
          <t xml:space="preserve">Generation method</t>
        </is>
      </c>
      <c r="B11" s="0" t="inlineStr">
        <is>
          <t xml:space="preserve">Browser-based static Excel generator</t>
        </is>
      </c>
    </row>
    <row r="12" ht="18" customHeight="1">
      <c r="A12" s="0" t="inlineStr">
        <is>
          <t xml:space="preserve">Governance</t>
        </is>
      </c>
      <c r="B12" s="0" t="inlineStr">
        <is>
          <t xml:space="preserve">Draft model; review and approve assumptions before use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B13"/>
  <cols>
    <col min="1" max="1" width="28" customWidth="1"/>
    <col min="2" max="2" width="90" customWidth="1"/>
  </cols>
  <sheetData>
    <row r="1" ht="22" customHeight="1">
      <c r="A1" s="1" t="inlineStr">
        <is>
          <t xml:space="preserve">Stage</t>
        </is>
      </c>
      <c r="B1" s="1" t="inlineStr">
        <is>
          <t xml:space="preserve">Configured structure</t>
        </is>
      </c>
    </row>
    <row r="2" ht="18" customHeight="1">
      <c r="A2" s="0" t="inlineStr">
        <is>
          <t xml:space="preserve">Model family</t>
        </is>
      </c>
      <c r="B2" s="0" t="inlineStr">
        <is>
          <t xml:space="preserve">Epidemiology-Based Forecast</t>
        </is>
      </c>
    </row>
    <row r="3" ht="18" customHeight="1">
      <c r="A3" s="0" t="inlineStr">
        <is>
          <t xml:space="preserve">Disease / indication</t>
        </is>
      </c>
      <c r="B3" s="0" t="inlineStr">
        <is>
          <t xml:space="preserve">Atopic Dermatitis</t>
        </is>
      </c>
    </row>
    <row r="4" ht="18" customHeight="1">
      <c r="A4" s="0" t="inlineStr">
        <is>
          <t xml:space="preserve">Country</t>
        </is>
      </c>
      <c r="B4" s="0" t="inlineStr">
        <is>
          <t xml:space="preserve">United States</t>
        </is>
      </c>
    </row>
    <row r="5" ht="18" customHeight="1">
      <c r="A5" s="0" t="inlineStr">
        <is>
          <t xml:space="preserve">Forecast period</t>
        </is>
      </c>
      <c r="B5" s="0" t="inlineStr">
        <is>
          <t xml:space="preserve">2026-2040</t>
        </is>
      </c>
    </row>
    <row r="6" ht="18" customHeight="1">
      <c r="A6" s="0" t="inlineStr">
        <is>
          <t xml:space="preserve">Patient pool entry</t>
        </is>
      </c>
      <c r="B6" s="0" t="inlineStr">
        <is>
          <t xml:space="preserve">Prevalence Pool</t>
        </is>
      </c>
    </row>
    <row r="7" ht="18" customHeight="1">
      <c r="A7" s="0" t="inlineStr">
        <is>
          <t xml:space="preserve">Epidemiology basis</t>
        </is>
      </c>
      <c r="B7" s="0" t="inlineStr">
        <is>
          <t xml:space="preserve">Prevalence</t>
        </is>
      </c>
    </row>
    <row r="8" ht="18" customHeight="1">
      <c r="A8" s="0" t="inlineStr">
        <is>
          <t xml:space="preserve">Age groups</t>
        </is>
      </c>
      <c r="B8" s="0" t="inlineStr">
        <is>
          <t xml:space="preserve">3 groups: Adolescents, Adults, Older adults</t>
        </is>
      </c>
    </row>
    <row r="9" ht="18" customHeight="1">
      <c r="A9" s="0" t="inlineStr">
        <is>
          <t xml:space="preserve">Diagnosis</t>
        </is>
      </c>
      <c r="B9" s="0" t="inlineStr">
        <is>
          <t xml:space="preserve">1 segment(s), 0 subsegment(s)</t>
        </is>
      </c>
    </row>
    <row r="10" ht="18" customHeight="1">
      <c r="A10" s="0" t="inlineStr">
        <is>
          <t xml:space="preserve">Treatment</t>
        </is>
      </c>
      <c r="B10" s="0" t="inlineStr">
        <is>
          <t xml:space="preserve">1 segment(s), 0 subsegment(s)</t>
        </is>
      </c>
    </row>
    <row r="11" ht="18" customHeight="1">
      <c r="A11" s="0" t="inlineStr">
        <is>
          <t xml:space="preserve">Line of therapy</t>
        </is>
      </c>
      <c r="B11" s="0" t="inlineStr">
        <is>
          <t xml:space="preserve">Not included</t>
        </is>
      </c>
    </row>
    <row r="12" ht="18" customHeight="1">
      <c r="A12" s="0" t="inlineStr">
        <is>
          <t xml:space="preserve">Product classes</t>
        </is>
      </c>
      <c r="B12" s="0" t="inlineStr">
        <is>
          <t xml:space="preserve">3 class(es)</t>
        </is>
      </c>
    </row>
    <row r="13" ht="18" customHeight="1">
      <c r="A13" s="0" t="inlineStr">
        <is>
          <t xml:space="preserve">Products</t>
        </is>
      </c>
      <c r="B13" s="0" t="inlineStr">
        <is>
          <t xml:space="preserve">4 marketed + 1 pipeline per class</t>
        </is>
      </c>
    </row>
  </sheetData>
  <autoFilter ref="A1:B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E25"/>
  <cols>
    <col min="1" max="1" width="20" customWidth="1"/>
    <col min="2" max="2" width="26" customWidth="1"/>
    <col min="3" max="3" width="42" customWidth="1"/>
    <col min="4" max="4" width="18" customWidth="1"/>
    <col min="5" max="5" width="52" customWidth="1"/>
  </cols>
  <sheetData>
    <row r="1" ht="22" customHeight="1">
      <c r="A1" s="1" t="inlineStr">
        <is>
          <t xml:space="preserve">Category</t>
        </is>
      </c>
      <c r="B1" s="1" t="inlineStr">
        <is>
          <t xml:space="preserve">Model stage</t>
        </is>
      </c>
      <c r="C1" s="1" t="inlineStr">
        <is>
          <t xml:space="preserve">Input / assumption</t>
        </is>
      </c>
      <c r="D1" s="1" t="inlineStr">
        <is>
          <t xml:space="preserve">Unit</t>
        </is>
      </c>
      <c r="E1" s="1" t="inlineStr">
        <is>
          <t xml:space="preserve">Source / note</t>
        </is>
      </c>
    </row>
    <row r="2" ht="18" customHeight="1">
      <c r="A2" s="0" t="inlineStr">
        <is>
          <t xml:space="preserve">Population</t>
        </is>
      </c>
      <c r="B2" s="0" t="inlineStr">
        <is>
          <t xml:space="preserve">Population</t>
        </is>
      </c>
      <c r="C2" s="0" t="inlineStr">
        <is>
          <t xml:space="preserve">Adolescents</t>
        </is>
      </c>
      <c r="E2" s="9" t="inlineStr">
        <is>
          <t xml:space="preserve">Population / share input</t>
        </is>
      </c>
    </row>
    <row r="3" ht="18" customHeight="1">
      <c r="A3" s="0" t="inlineStr">
        <is>
          <t xml:space="preserve">Population</t>
        </is>
      </c>
      <c r="B3" s="0" t="inlineStr">
        <is>
          <t xml:space="preserve">Population</t>
        </is>
      </c>
      <c r="C3" s="0" t="inlineStr">
        <is>
          <t xml:space="preserve">Adults</t>
        </is>
      </c>
      <c r="E3" s="9" t="inlineStr">
        <is>
          <t xml:space="preserve">Population / share input</t>
        </is>
      </c>
    </row>
    <row r="4" ht="18" customHeight="1">
      <c r="A4" s="0" t="inlineStr">
        <is>
          <t xml:space="preserve">Population</t>
        </is>
      </c>
      <c r="B4" s="0" t="inlineStr">
        <is>
          <t xml:space="preserve">Population</t>
        </is>
      </c>
      <c r="C4" s="0" t="inlineStr">
        <is>
          <t xml:space="preserve">Older adults</t>
        </is>
      </c>
      <c r="E4" s="9" t="inlineStr">
        <is>
          <t xml:space="preserve">Population / share input</t>
        </is>
      </c>
    </row>
    <row r="5" ht="18" customHeight="1">
      <c r="A5" s="0" t="inlineStr">
        <is>
          <t xml:space="preserve">Epidemiology</t>
        </is>
      </c>
      <c r="B5" s="0" t="inlineStr">
        <is>
          <t xml:space="preserve">Prevalence Pool</t>
        </is>
      </c>
      <c r="C5" s="0" t="inlineStr">
        <is>
          <t xml:space="preserve">Prevalence input</t>
        </is>
      </c>
      <c r="E5" s="9" t="inlineStr">
        <is>
          <t xml:space="preserve">Rate or patient count</t>
        </is>
      </c>
    </row>
    <row r="6" ht="18" customHeight="1">
      <c r="A6" s="0" t="inlineStr">
        <is>
          <t xml:space="preserve">Diagnosis</t>
        </is>
      </c>
      <c r="B6" s="0" t="inlineStr">
        <is>
          <t xml:space="preserve">Diagnosis</t>
        </is>
      </c>
      <c r="C6" s="0" t="inlineStr">
        <is>
          <t xml:space="preserve">Diagnosis Segment 1</t>
        </is>
      </c>
      <c r="E6" s="9" t="inlineStr">
        <is>
          <t xml:space="preserve">Segment input</t>
        </is>
      </c>
    </row>
    <row r="7" ht="18" customHeight="1">
      <c r="A7" s="0" t="inlineStr">
        <is>
          <t xml:space="preserve">Treatment</t>
        </is>
      </c>
      <c r="B7" s="0" t="inlineStr">
        <is>
          <t xml:space="preserve">Treatment</t>
        </is>
      </c>
      <c r="C7" s="0" t="inlineStr">
        <is>
          <t xml:space="preserve">Treatment Segment 1</t>
        </is>
      </c>
      <c r="E7" s="9" t="inlineStr">
        <is>
          <t xml:space="preserve">Segment input</t>
        </is>
      </c>
    </row>
    <row r="8" ht="18" customHeight="1">
      <c r="A8" s="0" t="inlineStr">
        <is>
          <t xml:space="preserve">Class</t>
        </is>
      </c>
      <c r="B8" s="0" t="inlineStr">
        <is>
          <t xml:space="preserve">Treatment Segment 1</t>
        </is>
      </c>
      <c r="C8" s="0" t="inlineStr">
        <is>
          <t xml:space="preserve">Treatment Segment 1 / Class 1</t>
        </is>
      </c>
      <c r="E8" s="9" t="inlineStr">
        <is>
          <t xml:space="preserve">Class input</t>
        </is>
      </c>
    </row>
    <row r="9" ht="18" customHeight="1">
      <c r="A9" s="0" t="inlineStr">
        <is>
          <t xml:space="preserve">Product</t>
        </is>
      </c>
      <c r="B9" s="0" t="inlineStr">
        <is>
          <t xml:space="preserve">Treatment Segment 1 / Class 1</t>
        </is>
      </c>
      <c r="C9" s="0" t="inlineStr">
        <is>
          <t xml:space="preserve">Treatment Segment 1 / Class 1 / Marketed Product 1</t>
        </is>
      </c>
      <c r="E9" s="9" t="inlineStr">
        <is>
          <t xml:space="preserve">Product input</t>
        </is>
      </c>
    </row>
    <row r="10" ht="18" customHeight="1">
      <c r="A10" s="0" t="inlineStr">
        <is>
          <t xml:space="preserve">Product</t>
        </is>
      </c>
      <c r="B10" s="0" t="inlineStr">
        <is>
          <t xml:space="preserve">Treatment Segment 1 / Class 1</t>
        </is>
      </c>
      <c r="C10" s="0" t="inlineStr">
        <is>
          <t xml:space="preserve">Treatment Segment 1 / Class 1 / Marketed Product 2</t>
        </is>
      </c>
      <c r="E10" s="9" t="inlineStr">
        <is>
          <t xml:space="preserve">Product input</t>
        </is>
      </c>
    </row>
    <row r="11" ht="18" customHeight="1">
      <c r="A11" s="0" t="inlineStr">
        <is>
          <t xml:space="preserve">Product</t>
        </is>
      </c>
      <c r="B11" s="0" t="inlineStr">
        <is>
          <t xml:space="preserve">Treatment Segment 1 / Class 1</t>
        </is>
      </c>
      <c r="C11" s="0" t="inlineStr">
        <is>
          <t xml:space="preserve">Treatment Segment 1 / Class 1 / Marketed Product 3</t>
        </is>
      </c>
      <c r="E11" s="9" t="inlineStr">
        <is>
          <t xml:space="preserve">Product input</t>
        </is>
      </c>
    </row>
    <row r="12" ht="18" customHeight="1">
      <c r="A12" s="0" t="inlineStr">
        <is>
          <t xml:space="preserve">Product</t>
        </is>
      </c>
      <c r="B12" s="0" t="inlineStr">
        <is>
          <t xml:space="preserve">Treatment Segment 1 / Class 1</t>
        </is>
      </c>
      <c r="C12" s="0" t="inlineStr">
        <is>
          <t xml:space="preserve">Treatment Segment 1 / Class 1 / Marketed Product 4</t>
        </is>
      </c>
      <c r="E12" s="9" t="inlineStr">
        <is>
          <t xml:space="preserve">Product input</t>
        </is>
      </c>
    </row>
    <row r="13" ht="18" customHeight="1">
      <c r="A13" s="0" t="inlineStr">
        <is>
          <t xml:space="preserve">Product</t>
        </is>
      </c>
      <c r="B13" s="0" t="inlineStr">
        <is>
          <t xml:space="preserve">Treatment Segment 1 / Class 1</t>
        </is>
      </c>
      <c r="C13" s="0" t="inlineStr">
        <is>
          <t xml:space="preserve">Treatment Segment 1 / Class 1 / Pipeline Product 1</t>
        </is>
      </c>
      <c r="E13" s="9" t="inlineStr">
        <is>
          <t xml:space="preserve">Product input</t>
        </is>
      </c>
    </row>
    <row r="14" ht="18" customHeight="1">
      <c r="A14" s="0" t="inlineStr">
        <is>
          <t xml:space="preserve">Class</t>
        </is>
      </c>
      <c r="B14" s="0" t="inlineStr">
        <is>
          <t xml:space="preserve">Treatment Segment 1</t>
        </is>
      </c>
      <c r="C14" s="0" t="inlineStr">
        <is>
          <t xml:space="preserve">Treatment Segment 1 / Class 2</t>
        </is>
      </c>
      <c r="E14" s="9" t="inlineStr">
        <is>
          <t xml:space="preserve">Class input</t>
        </is>
      </c>
    </row>
    <row r="15" ht="18" customHeight="1">
      <c r="A15" s="0" t="inlineStr">
        <is>
          <t xml:space="preserve">Product</t>
        </is>
      </c>
      <c r="B15" s="0" t="inlineStr">
        <is>
          <t xml:space="preserve">Treatment Segment 1 / Class 2</t>
        </is>
      </c>
      <c r="C15" s="0" t="inlineStr">
        <is>
          <t xml:space="preserve">Treatment Segment 1 / Class 2 / Marketed Product 1</t>
        </is>
      </c>
      <c r="E15" s="9" t="inlineStr">
        <is>
          <t xml:space="preserve">Product input</t>
        </is>
      </c>
    </row>
    <row r="16" ht="18" customHeight="1">
      <c r="A16" s="0" t="inlineStr">
        <is>
          <t xml:space="preserve">Product</t>
        </is>
      </c>
      <c r="B16" s="0" t="inlineStr">
        <is>
          <t xml:space="preserve">Treatment Segment 1 / Class 2</t>
        </is>
      </c>
      <c r="C16" s="0" t="inlineStr">
        <is>
          <t xml:space="preserve">Treatment Segment 1 / Class 2 / Marketed Product 2</t>
        </is>
      </c>
      <c r="E16" s="9" t="inlineStr">
        <is>
          <t xml:space="preserve">Product input</t>
        </is>
      </c>
    </row>
    <row r="17" ht="18" customHeight="1">
      <c r="A17" s="0" t="inlineStr">
        <is>
          <t xml:space="preserve">Product</t>
        </is>
      </c>
      <c r="B17" s="0" t="inlineStr">
        <is>
          <t xml:space="preserve">Treatment Segment 1 / Class 2</t>
        </is>
      </c>
      <c r="C17" s="0" t="inlineStr">
        <is>
          <t xml:space="preserve">Treatment Segment 1 / Class 2 / Marketed Product 3</t>
        </is>
      </c>
      <c r="E17" s="9" t="inlineStr">
        <is>
          <t xml:space="preserve">Product input</t>
        </is>
      </c>
    </row>
    <row r="18" ht="18" customHeight="1">
      <c r="A18" s="0" t="inlineStr">
        <is>
          <t xml:space="preserve">Product</t>
        </is>
      </c>
      <c r="B18" s="0" t="inlineStr">
        <is>
          <t xml:space="preserve">Treatment Segment 1 / Class 2</t>
        </is>
      </c>
      <c r="C18" s="0" t="inlineStr">
        <is>
          <t xml:space="preserve">Treatment Segment 1 / Class 2 / Marketed Product 4</t>
        </is>
      </c>
      <c r="E18" s="9" t="inlineStr">
        <is>
          <t xml:space="preserve">Product input</t>
        </is>
      </c>
    </row>
    <row r="19" ht="18" customHeight="1">
      <c r="A19" s="0" t="inlineStr">
        <is>
          <t xml:space="preserve">Product</t>
        </is>
      </c>
      <c r="B19" s="0" t="inlineStr">
        <is>
          <t xml:space="preserve">Treatment Segment 1 / Class 2</t>
        </is>
      </c>
      <c r="C19" s="0" t="inlineStr">
        <is>
          <t xml:space="preserve">Treatment Segment 1 / Class 2 / Pipeline Product 1</t>
        </is>
      </c>
      <c r="E19" s="9" t="inlineStr">
        <is>
          <t xml:space="preserve">Product input</t>
        </is>
      </c>
    </row>
    <row r="20" ht="18" customHeight="1">
      <c r="A20" s="0" t="inlineStr">
        <is>
          <t xml:space="preserve">Class</t>
        </is>
      </c>
      <c r="B20" s="0" t="inlineStr">
        <is>
          <t xml:space="preserve">Treatment Segment 1</t>
        </is>
      </c>
      <c r="C20" s="0" t="inlineStr">
        <is>
          <t xml:space="preserve">Treatment Segment 1 / Class 3</t>
        </is>
      </c>
      <c r="E20" s="9" t="inlineStr">
        <is>
          <t xml:space="preserve">Class input</t>
        </is>
      </c>
    </row>
    <row r="21" ht="18" customHeight="1">
      <c r="A21" s="0" t="inlineStr">
        <is>
          <t xml:space="preserve">Product</t>
        </is>
      </c>
      <c r="B21" s="0" t="inlineStr">
        <is>
          <t xml:space="preserve">Treatment Segment 1 / Class 3</t>
        </is>
      </c>
      <c r="C21" s="0" t="inlineStr">
        <is>
          <t xml:space="preserve">Treatment Segment 1 / Class 3 / Marketed Product 1</t>
        </is>
      </c>
      <c r="E21" s="9" t="inlineStr">
        <is>
          <t xml:space="preserve">Product input</t>
        </is>
      </c>
    </row>
    <row r="22" ht="18" customHeight="1">
      <c r="A22" s="0" t="inlineStr">
        <is>
          <t xml:space="preserve">Product</t>
        </is>
      </c>
      <c r="B22" s="0" t="inlineStr">
        <is>
          <t xml:space="preserve">Treatment Segment 1 / Class 3</t>
        </is>
      </c>
      <c r="C22" s="0" t="inlineStr">
        <is>
          <t xml:space="preserve">Treatment Segment 1 / Class 3 / Marketed Product 2</t>
        </is>
      </c>
      <c r="E22" s="9" t="inlineStr">
        <is>
          <t xml:space="preserve">Product input</t>
        </is>
      </c>
    </row>
    <row r="23" ht="18" customHeight="1">
      <c r="A23" s="0" t="inlineStr">
        <is>
          <t xml:space="preserve">Product</t>
        </is>
      </c>
      <c r="B23" s="0" t="inlineStr">
        <is>
          <t xml:space="preserve">Treatment Segment 1 / Class 3</t>
        </is>
      </c>
      <c r="C23" s="0" t="inlineStr">
        <is>
          <t xml:space="preserve">Treatment Segment 1 / Class 3 / Marketed Product 3</t>
        </is>
      </c>
      <c r="E23" s="9" t="inlineStr">
        <is>
          <t xml:space="preserve">Product input</t>
        </is>
      </c>
    </row>
    <row r="24" ht="18" customHeight="1">
      <c r="A24" s="0" t="inlineStr">
        <is>
          <t xml:space="preserve">Product</t>
        </is>
      </c>
      <c r="B24" s="0" t="inlineStr">
        <is>
          <t xml:space="preserve">Treatment Segment 1 / Class 3</t>
        </is>
      </c>
      <c r="C24" s="0" t="inlineStr">
        <is>
          <t xml:space="preserve">Treatment Segment 1 / Class 3 / Marketed Product 4</t>
        </is>
      </c>
      <c r="E24" s="9" t="inlineStr">
        <is>
          <t xml:space="preserve">Product input</t>
        </is>
      </c>
    </row>
    <row r="25" ht="18" customHeight="1">
      <c r="A25" s="0" t="inlineStr">
        <is>
          <t xml:space="preserve">Product</t>
        </is>
      </c>
      <c r="B25" s="0" t="inlineStr">
        <is>
          <t xml:space="preserve">Treatment Segment 1 / Class 3</t>
        </is>
      </c>
      <c r="C25" s="0" t="inlineStr">
        <is>
          <t xml:space="preserve">Treatment Segment 1 / Class 3 / Pipeline Product 1</t>
        </is>
      </c>
      <c r="E25" s="9" t="inlineStr">
        <is>
          <t xml:space="preserve">Product input</t>
        </is>
      </c>
    </row>
  </sheetData>
  <autoFilter ref="A1:E25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F16"/>
  <cols>
    <col min="1" max="1" width="34" customWidth="1"/>
    <col min="2" max="2" width="16" customWidth="1"/>
    <col min="3" max="3" width="15" customWidth="1"/>
    <col min="4" max="4" width="15" customWidth="1"/>
    <col min="5" max="5" width="15" customWidth="1"/>
    <col min="6" max="6" width="55" customWidth="1"/>
  </cols>
  <sheetData>
    <row r="1" ht="22" customHeight="1">
      <c r="A1" s="1" t="inlineStr">
        <is>
          <t xml:space="preserve">Assumption</t>
        </is>
      </c>
      <c r="B1" s="1" t="inlineStr">
        <is>
          <t xml:space="preserve">Unit</t>
        </is>
      </c>
      <c r="C1" s="1" t="inlineStr">
        <is>
          <t xml:space="preserve">Base</t>
        </is>
      </c>
      <c r="D1" s="1" t="inlineStr">
        <is>
          <t xml:space="preserve">Strong</t>
        </is>
      </c>
      <c r="E1" s="1" t="inlineStr">
        <is>
          <t xml:space="preserve">Weak</t>
        </is>
      </c>
      <c r="F1" s="1" t="inlineStr">
        <is>
          <t xml:space="preserve">Guidance</t>
        </is>
      </c>
    </row>
    <row r="2" ht="18" customHeight="1">
      <c r="A2" s="0" t="inlineStr">
        <is>
          <t xml:space="preserve">Starting population</t>
        </is>
      </c>
      <c r="B2" s="0" t="inlineStr">
        <is>
          <t xml:space="preserve">patients</t>
        </is>
      </c>
      <c r="C2" s="3">
        <v>1000000</v>
      </c>
      <c r="D2" s="3">
        <v>1000000</v>
      </c>
      <c r="E2" s="3">
        <v>1000000</v>
      </c>
      <c r="F2" s="0" t="inlineStr">
        <is>
          <t xml:space="preserve">Replace with country population or entry pool</t>
        </is>
      </c>
    </row>
    <row r="3" ht="18" customHeight="1">
      <c r="A3" s="0" t="inlineStr">
        <is>
          <t xml:space="preserve">Annual population growth</t>
        </is>
      </c>
      <c r="B3" s="0" t="inlineStr">
        <is>
          <t xml:space="preserve">%</t>
        </is>
      </c>
      <c r="C3" s="5">
        <v>0.005</v>
      </c>
      <c r="D3" s="5">
        <v>0.007</v>
      </c>
      <c r="E3" s="5">
        <v>0.003</v>
      </c>
      <c r="F3" s="0" t="inlineStr">
        <is>
          <t xml:space="preserve">Annual growth rate</t>
        </is>
      </c>
    </row>
    <row r="4" ht="18" customHeight="1">
      <c r="A4" s="0" t="inlineStr">
        <is>
          <t xml:space="preserve">Prevalence rate</t>
        </is>
      </c>
      <c r="B4" s="0" t="inlineStr">
        <is>
          <t xml:space="preserve">%</t>
        </is>
      </c>
      <c r="C4" s="5">
        <v>0.05</v>
      </c>
      <c r="D4" s="5">
        <v>0.052</v>
      </c>
      <c r="E4" s="5">
        <v>0.048</v>
      </c>
      <c r="F4" s="0" t="inlineStr">
        <is>
          <t xml:space="preserve">Use only for prevalence-pool models</t>
        </is>
      </c>
    </row>
    <row r="5" ht="18" customHeight="1">
      <c r="A5" s="0" t="inlineStr">
        <is>
          <t xml:space="preserve">Diagnosis rate — start</t>
        </is>
      </c>
      <c r="B5" s="0" t="inlineStr">
        <is>
          <t xml:space="preserve">%</t>
        </is>
      </c>
      <c r="C5" s="5">
        <v>0.6</v>
      </c>
      <c r="D5" s="5">
        <v>0.62</v>
      </c>
      <c r="E5" s="5">
        <v>0.57</v>
      </c>
      <c r="F5" s="0" t="inlineStr">
        <is>
          <t xml:space="preserve">Diagnosed / prevalent</t>
        </is>
      </c>
    </row>
    <row r="6" ht="18" customHeight="1">
      <c r="A6" s="0" t="inlineStr">
        <is>
          <t xml:space="preserve">Diagnosis rate — end</t>
        </is>
      </c>
      <c r="B6" s="0" t="inlineStr">
        <is>
          <t xml:space="preserve">%</t>
        </is>
      </c>
      <c r="C6" s="5">
        <v>0.65</v>
      </c>
      <c r="D6" s="5">
        <v>0.7</v>
      </c>
      <c r="E6" s="5">
        <v>0.6</v>
      </c>
      <c r="F6" s="0" t="inlineStr">
        <is>
          <t xml:space="preserve">End-of-horizon diagnosis rate</t>
        </is>
      </c>
    </row>
    <row r="7" ht="18" customHeight="1">
      <c r="A7" s="0" t="inlineStr">
        <is>
          <t xml:space="preserve">Treatment rate</t>
        </is>
      </c>
      <c r="B7" s="0" t="inlineStr">
        <is>
          <t xml:space="preserve">%</t>
        </is>
      </c>
      <c r="C7" s="5">
        <v>0.8</v>
      </c>
      <c r="D7" s="5">
        <v>0.84</v>
      </c>
      <c r="E7" s="5">
        <v>0.75</v>
      </c>
      <c r="F7" s="0" t="inlineStr">
        <is>
          <t xml:space="preserve">Treated / diagnosed</t>
        </is>
      </c>
    </row>
    <row r="8" ht="18" customHeight="1">
      <c r="A8" s="0" t="inlineStr">
        <is>
          <t xml:space="preserve">Clinical eligibility</t>
        </is>
      </c>
      <c r="B8" s="0" t="inlineStr">
        <is>
          <t xml:space="preserve">%</t>
        </is>
      </c>
      <c r="C8" s="5">
        <v>0.6</v>
      </c>
      <c r="D8" s="5">
        <v>0.65</v>
      </c>
      <c r="E8" s="5">
        <v>0.55</v>
      </c>
      <c r="F8" s="0" t="inlineStr">
        <is>
          <t xml:space="preserve">Eligible / treated</t>
        </is>
      </c>
    </row>
    <row r="9" ht="18" customHeight="1">
      <c r="A9" s="0" t="inlineStr">
        <is>
          <t xml:space="preserve">Launch year</t>
        </is>
      </c>
      <c r="B9" s="0" t="inlineStr">
        <is>
          <t xml:space="preserve">year</t>
        </is>
      </c>
      <c r="C9" s="3">
        <v>2027</v>
      </c>
      <c r="D9" s="3">
        <v>2027</v>
      </c>
      <c r="E9" s="3">
        <v>2028</v>
      </c>
      <c r="F9" s="0" t="inlineStr">
        <is>
          <t xml:space="preserve">First year with product share</t>
        </is>
      </c>
    </row>
    <row r="10" ht="18" customHeight="1">
      <c r="A10" s="0" t="inlineStr">
        <is>
          <t xml:space="preserve">Peak product share</t>
        </is>
      </c>
      <c r="B10" s="0" t="inlineStr">
        <is>
          <t xml:space="preserve">%</t>
        </is>
      </c>
      <c r="C10" s="5">
        <v>0.2</v>
      </c>
      <c r="D10" s="5">
        <v>0.25</v>
      </c>
      <c r="E10" s="5">
        <v>0.15</v>
      </c>
      <c r="F10" s="0" t="inlineStr">
        <is>
          <t xml:space="preserve">Peak share of eligible patients</t>
        </is>
      </c>
    </row>
    <row r="11" ht="18" customHeight="1">
      <c r="A11" s="0" t="inlineStr">
        <is>
          <t xml:space="preserve">Years to peak</t>
        </is>
      </c>
      <c r="B11" s="0" t="inlineStr">
        <is>
          <t xml:space="preserve">years</t>
        </is>
      </c>
      <c r="C11" s="3">
        <v>5</v>
      </c>
      <c r="D11" s="3">
        <v>4</v>
      </c>
      <c r="E11" s="3">
        <v>7</v>
      </c>
      <c r="F11" s="0" t="inlineStr">
        <is>
          <t xml:space="preserve">Linear demonstration ramp</t>
        </is>
      </c>
    </row>
    <row r="12" ht="18" customHeight="1">
      <c r="A12" s="0" t="inlineStr">
        <is>
          <t xml:space="preserve">Annual doses per patient</t>
        </is>
      </c>
      <c r="B12" s="0" t="inlineStr">
        <is>
          <t xml:space="preserve">doses</t>
        </is>
      </c>
      <c r="C12" s="3">
        <v>365</v>
      </c>
      <c r="D12" s="3">
        <v>365</v>
      </c>
      <c r="E12" s="3">
        <v>365</v>
      </c>
      <c r="F12" s="0" t="inlineStr">
        <is>
          <t xml:space="preserve">Replace with dosing logic</t>
        </is>
      </c>
    </row>
    <row r="13" ht="18" customHeight="1">
      <c r="A13" s="0" t="inlineStr">
        <is>
          <t xml:space="preserve">Adherence</t>
        </is>
      </c>
      <c r="B13" s="0" t="inlineStr">
        <is>
          <t xml:space="preserve">%</t>
        </is>
      </c>
      <c r="C13" s="5">
        <v>0.75</v>
      </c>
      <c r="D13" s="5">
        <v>0.8</v>
      </c>
      <c r="E13" s="5">
        <v>0.68</v>
      </c>
      <c r="F13" s="0" t="inlineStr">
        <is>
          <t xml:space="preserve">Applied to product volume</t>
        </is>
      </c>
    </row>
    <row r="14" ht="18" customHeight="1">
      <c r="A14" s="0" t="inlineStr">
        <is>
          <t xml:space="preserve">List price per dose</t>
        </is>
      </c>
      <c r="B14" s="0" t="inlineStr">
        <is>
          <t xml:space="preserve">currency</t>
        </is>
      </c>
      <c r="C14" s="10">
        <v>100</v>
      </c>
      <c r="D14" s="10">
        <v>103</v>
      </c>
      <c r="E14" s="10">
        <v>97</v>
      </c>
      <c r="F14" s="0" t="inlineStr">
        <is>
          <t xml:space="preserve">Replace with approved price</t>
        </is>
      </c>
    </row>
    <row r="15" ht="18" customHeight="1">
      <c r="A15" s="0" t="inlineStr">
        <is>
          <t xml:space="preserve">Annual price growth</t>
        </is>
      </c>
      <c r="B15" s="0" t="inlineStr">
        <is>
          <t xml:space="preserve">%</t>
        </is>
      </c>
      <c r="C15" s="5">
        <v>0.02</v>
      </c>
      <c r="D15" s="5">
        <v>0.025</v>
      </c>
      <c r="E15" s="5">
        <v>0.005</v>
      </c>
      <c r="F15" s="0" t="inlineStr">
        <is>
          <t xml:space="preserve">Annual price change</t>
        </is>
      </c>
    </row>
    <row r="16" ht="18" customHeight="1">
      <c r="A16" s="0" t="inlineStr">
        <is>
          <t xml:space="preserve">Gross-to-net discount</t>
        </is>
      </c>
      <c r="B16" s="0" t="inlineStr">
        <is>
          <t xml:space="preserve">%</t>
        </is>
      </c>
      <c r="C16" s="5">
        <v>0.18</v>
      </c>
      <c r="D16" s="5">
        <v>0.16</v>
      </c>
      <c r="E16" s="5">
        <v>0.23</v>
      </c>
      <c r="F16" s="0" t="inlineStr">
        <is>
          <t xml:space="preserve">Applied to gross revenue</t>
        </is>
      </c>
    </row>
  </sheetData>
  <autoFilter ref="A1:F16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dimension ref="A1:Q63"/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 ht="22" customHeight="1">
      <c r="A1" s="2" t="inlineStr">
        <is>
          <t xml:space="preserve">Base Scenario</t>
        </is>
      </c>
    </row>
    <row r="2" ht="18" customHeight="1">
      <c r="A2" s="1" t="inlineStr">
        <is>
          <t xml:space="preserve">Metric</t>
        </is>
      </c>
      <c r="B2" s="1" t="inlineStr">
        <is>
          <t xml:space="preserve">Unit</t>
        </is>
      </c>
      <c r="C2" s="1">
        <v>2026</v>
      </c>
      <c r="D2" s="1">
        <v>2027</v>
      </c>
      <c r="E2" s="1">
        <v>2028</v>
      </c>
      <c r="F2" s="1">
        <v>2029</v>
      </c>
      <c r="G2" s="1">
        <v>2030</v>
      </c>
      <c r="H2" s="1">
        <v>2031</v>
      </c>
      <c r="I2" s="1">
        <v>2032</v>
      </c>
      <c r="J2" s="1">
        <v>2033</v>
      </c>
      <c r="K2" s="1">
        <v>2034</v>
      </c>
      <c r="L2" s="1">
        <v>2035</v>
      </c>
      <c r="M2" s="1">
        <v>2036</v>
      </c>
      <c r="N2" s="1">
        <v>2037</v>
      </c>
      <c r="O2" s="1">
        <v>2038</v>
      </c>
      <c r="P2" s="1">
        <v>2039</v>
      </c>
      <c r="Q2" s="1">
        <v>2040</v>
      </c>
    </row>
    <row r="3" ht="18" customHeight="1">
      <c r="A3" s="0" t="inlineStr">
        <is>
          <t xml:space="preserve">Population</t>
        </is>
      </c>
      <c r="B3" s="0" t="inlineStr">
        <is>
          <t xml:space="preserve">patients</t>
        </is>
      </c>
      <c r="C3" s="4">
        <f>Assumptions!$C$2</f>
        <v>0</v>
      </c>
      <c r="D3" s="4">
        <f>B3*(1+Assumptions!$C$3)</f>
        <v>0</v>
      </c>
      <c r="E3" s="4">
        <f>C3*(1+Assumptions!$C$3)</f>
        <v>0</v>
      </c>
      <c r="F3" s="4">
        <f>D3*(1+Assumptions!$C$3)</f>
        <v>0</v>
      </c>
      <c r="G3" s="4">
        <f>E3*(1+Assumptions!$C$3)</f>
        <v>0</v>
      </c>
      <c r="H3" s="4">
        <f>F3*(1+Assumptions!$C$3)</f>
        <v>0</v>
      </c>
      <c r="I3" s="4">
        <f>G3*(1+Assumptions!$C$3)</f>
        <v>0</v>
      </c>
      <c r="J3" s="4">
        <f>H3*(1+Assumptions!$C$3)</f>
        <v>0</v>
      </c>
      <c r="K3" s="4">
        <f>I3*(1+Assumptions!$C$3)</f>
        <v>0</v>
      </c>
      <c r="L3" s="4">
        <f>J3*(1+Assumptions!$C$3)</f>
        <v>0</v>
      </c>
      <c r="M3" s="4">
        <f>K3*(1+Assumptions!$C$3)</f>
        <v>0</v>
      </c>
      <c r="N3" s="4">
        <f>L3*(1+Assumptions!$C$3)</f>
        <v>0</v>
      </c>
      <c r="O3" s="4">
        <f>M3*(1+Assumptions!$C$3)</f>
        <v>0</v>
      </c>
      <c r="P3" s="4">
        <f>N3*(1+Assumptions!$C$3)</f>
        <v>0</v>
      </c>
      <c r="Q3" s="4">
        <f>O3*(1+Assumptions!$C$3)</f>
        <v>0</v>
      </c>
    </row>
    <row r="4" ht="18" customHeight="1">
      <c r="A4" s="0" t="inlineStr">
        <is>
          <t xml:space="preserve">Prevalence rate</t>
        </is>
      </c>
      <c r="B4" s="0" t="inlineStr">
        <is>
          <t xml:space="preserve">%</t>
        </is>
      </c>
      <c r="C4" s="6">
        <f>Assumptions!$C$4</f>
        <v>0</v>
      </c>
      <c r="D4" s="6">
        <f>Assumptions!$C$4</f>
        <v>0</v>
      </c>
      <c r="E4" s="6">
        <f>Assumptions!$C$4</f>
        <v>0</v>
      </c>
      <c r="F4" s="6">
        <f>Assumptions!$C$4</f>
        <v>0</v>
      </c>
      <c r="G4" s="6">
        <f>Assumptions!$C$4</f>
        <v>0</v>
      </c>
      <c r="H4" s="6">
        <f>Assumptions!$C$4</f>
        <v>0</v>
      </c>
      <c r="I4" s="6">
        <f>Assumptions!$C$4</f>
        <v>0</v>
      </c>
      <c r="J4" s="6">
        <f>Assumptions!$C$4</f>
        <v>0</v>
      </c>
      <c r="K4" s="6">
        <f>Assumptions!$C$4</f>
        <v>0</v>
      </c>
      <c r="L4" s="6">
        <f>Assumptions!$C$4</f>
        <v>0</v>
      </c>
      <c r="M4" s="6">
        <f>Assumptions!$C$4</f>
        <v>0</v>
      </c>
      <c r="N4" s="6">
        <f>Assumptions!$C$4</f>
        <v>0</v>
      </c>
      <c r="O4" s="6">
        <f>Assumptions!$C$4</f>
        <v>0</v>
      </c>
      <c r="P4" s="6">
        <f>Assumptions!$C$4</f>
        <v>0</v>
      </c>
      <c r="Q4" s="6">
        <f>Assumptions!$C$4</f>
        <v>0</v>
      </c>
    </row>
    <row r="5" ht="18" customHeight="1">
      <c r="A5" s="0" t="inlineStr">
        <is>
          <t xml:space="preserve">Prevalent patients</t>
        </is>
      </c>
      <c r="B5" s="0" t="inlineStr">
        <is>
          <t xml:space="preserve">patients</t>
        </is>
      </c>
      <c r="C5" s="4">
        <f>C3*C4</f>
        <v>0</v>
      </c>
      <c r="D5" s="4">
        <f>D3*D4</f>
        <v>0</v>
      </c>
      <c r="E5" s="4">
        <f>E3*E4</f>
        <v>0</v>
      </c>
      <c r="F5" s="4">
        <f>F3*F4</f>
        <v>0</v>
      </c>
      <c r="G5" s="4">
        <f>G3*G4</f>
        <v>0</v>
      </c>
      <c r="H5" s="4">
        <f>H3*H4</f>
        <v>0</v>
      </c>
      <c r="I5" s="4">
        <f>I3*I4</f>
        <v>0</v>
      </c>
      <c r="J5" s="4">
        <f>J3*J4</f>
        <v>0</v>
      </c>
      <c r="K5" s="4">
        <f>K3*K4</f>
        <v>0</v>
      </c>
      <c r="L5" s="4">
        <f>L3*L4</f>
        <v>0</v>
      </c>
      <c r="M5" s="4">
        <f>M3*M4</f>
        <v>0</v>
      </c>
      <c r="N5" s="4">
        <f>N3*N4</f>
        <v>0</v>
      </c>
      <c r="O5" s="4">
        <f>O3*O4</f>
        <v>0</v>
      </c>
      <c r="P5" s="4">
        <f>P3*P4</f>
        <v>0</v>
      </c>
      <c r="Q5" s="4">
        <f>Q3*Q4</f>
        <v>0</v>
      </c>
    </row>
    <row r="6" ht="18" customHeight="1">
      <c r="A6" s="0" t="inlineStr">
        <is>
          <t xml:space="preserve">Diagnosis rate</t>
        </is>
      </c>
      <c r="B6" s="0" t="inlineStr">
        <is>
          <t xml:space="preserve">%</t>
        </is>
      </c>
      <c r="C6" s="6">
        <f>Assumptions!$C$5+(Assumptions!$C$6-Assumptions!$C$5)*0/14</f>
        <v>0</v>
      </c>
      <c r="D6" s="6">
        <f>Assumptions!$C$5+(Assumptions!$C$6-Assumptions!$C$5)*1/14</f>
        <v>0</v>
      </c>
      <c r="E6" s="6">
        <f>Assumptions!$C$5+(Assumptions!$C$6-Assumptions!$C$5)*2/14</f>
        <v>0</v>
      </c>
      <c r="F6" s="6">
        <f>Assumptions!$C$5+(Assumptions!$C$6-Assumptions!$C$5)*3/14</f>
        <v>0</v>
      </c>
      <c r="G6" s="6">
        <f>Assumptions!$C$5+(Assumptions!$C$6-Assumptions!$C$5)*4/14</f>
        <v>0</v>
      </c>
      <c r="H6" s="6">
        <f>Assumptions!$C$5+(Assumptions!$C$6-Assumptions!$C$5)*5/14</f>
        <v>0</v>
      </c>
      <c r="I6" s="6">
        <f>Assumptions!$C$5+(Assumptions!$C$6-Assumptions!$C$5)*6/14</f>
        <v>0</v>
      </c>
      <c r="J6" s="6">
        <f>Assumptions!$C$5+(Assumptions!$C$6-Assumptions!$C$5)*7/14</f>
        <v>0</v>
      </c>
      <c r="K6" s="6">
        <f>Assumptions!$C$5+(Assumptions!$C$6-Assumptions!$C$5)*8/14</f>
        <v>0</v>
      </c>
      <c r="L6" s="6">
        <f>Assumptions!$C$5+(Assumptions!$C$6-Assumptions!$C$5)*9/14</f>
        <v>0</v>
      </c>
      <c r="M6" s="6">
        <f>Assumptions!$C$5+(Assumptions!$C$6-Assumptions!$C$5)*10/14</f>
        <v>0</v>
      </c>
      <c r="N6" s="6">
        <f>Assumptions!$C$5+(Assumptions!$C$6-Assumptions!$C$5)*11/14</f>
        <v>0</v>
      </c>
      <c r="O6" s="6">
        <f>Assumptions!$C$5+(Assumptions!$C$6-Assumptions!$C$5)*12/14</f>
        <v>0</v>
      </c>
      <c r="P6" s="6">
        <f>Assumptions!$C$5+(Assumptions!$C$6-Assumptions!$C$5)*13/14</f>
        <v>0</v>
      </c>
      <c r="Q6" s="6">
        <f>Assumptions!$C$5+(Assumptions!$C$6-Assumptions!$C$5)*14/14</f>
        <v>0</v>
      </c>
    </row>
    <row r="7" ht="18" customHeight="1">
      <c r="A7" s="0" t="inlineStr">
        <is>
          <t xml:space="preserve">Diagnosed patients</t>
        </is>
      </c>
      <c r="B7" s="0" t="inlineStr">
        <is>
          <t xml:space="preserve">patients</t>
        </is>
      </c>
      <c r="C7" s="4">
        <f>C5*C6</f>
        <v>0</v>
      </c>
      <c r="D7" s="4">
        <f>D5*D6</f>
        <v>0</v>
      </c>
      <c r="E7" s="4">
        <f>E5*E6</f>
        <v>0</v>
      </c>
      <c r="F7" s="4">
        <f>F5*F6</f>
        <v>0</v>
      </c>
      <c r="G7" s="4">
        <f>G5*G6</f>
        <v>0</v>
      </c>
      <c r="H7" s="4">
        <f>H5*H6</f>
        <v>0</v>
      </c>
      <c r="I7" s="4">
        <f>I5*I6</f>
        <v>0</v>
      </c>
      <c r="J7" s="4">
        <f>J5*J6</f>
        <v>0</v>
      </c>
      <c r="K7" s="4">
        <f>K5*K6</f>
        <v>0</v>
      </c>
      <c r="L7" s="4">
        <f>L5*L6</f>
        <v>0</v>
      </c>
      <c r="M7" s="4">
        <f>M5*M6</f>
        <v>0</v>
      </c>
      <c r="N7" s="4">
        <f>N5*N6</f>
        <v>0</v>
      </c>
      <c r="O7" s="4">
        <f>O5*O6</f>
        <v>0</v>
      </c>
      <c r="P7" s="4">
        <f>P5*P6</f>
        <v>0</v>
      </c>
      <c r="Q7" s="4">
        <f>Q5*Q6</f>
        <v>0</v>
      </c>
    </row>
    <row r="8" ht="18" customHeight="1">
      <c r="A8" s="0" t="inlineStr">
        <is>
          <t xml:space="preserve">Treatment rate</t>
        </is>
      </c>
      <c r="B8" s="0" t="inlineStr">
        <is>
          <t xml:space="preserve">%</t>
        </is>
      </c>
      <c r="C8" s="6">
        <f>Assumptions!$C$7</f>
        <v>0</v>
      </c>
      <c r="D8" s="6">
        <f>Assumptions!$C$7</f>
        <v>0</v>
      </c>
      <c r="E8" s="6">
        <f>Assumptions!$C$7</f>
        <v>0</v>
      </c>
      <c r="F8" s="6">
        <f>Assumptions!$C$7</f>
        <v>0</v>
      </c>
      <c r="G8" s="6">
        <f>Assumptions!$C$7</f>
        <v>0</v>
      </c>
      <c r="H8" s="6">
        <f>Assumptions!$C$7</f>
        <v>0</v>
      </c>
      <c r="I8" s="6">
        <f>Assumptions!$C$7</f>
        <v>0</v>
      </c>
      <c r="J8" s="6">
        <f>Assumptions!$C$7</f>
        <v>0</v>
      </c>
      <c r="K8" s="6">
        <f>Assumptions!$C$7</f>
        <v>0</v>
      </c>
      <c r="L8" s="6">
        <f>Assumptions!$C$7</f>
        <v>0</v>
      </c>
      <c r="M8" s="6">
        <f>Assumptions!$C$7</f>
        <v>0</v>
      </c>
      <c r="N8" s="6">
        <f>Assumptions!$C$7</f>
        <v>0</v>
      </c>
      <c r="O8" s="6">
        <f>Assumptions!$C$7</f>
        <v>0</v>
      </c>
      <c r="P8" s="6">
        <f>Assumptions!$C$7</f>
        <v>0</v>
      </c>
      <c r="Q8" s="6">
        <f>Assumptions!$C$7</f>
        <v>0</v>
      </c>
    </row>
    <row r="9" ht="18" customHeight="1">
      <c r="A9" s="0" t="inlineStr">
        <is>
          <t xml:space="preserve">Treated patients</t>
        </is>
      </c>
      <c r="B9" s="0" t="inlineStr">
        <is>
          <t xml:space="preserve">patients</t>
        </is>
      </c>
      <c r="C9" s="4">
        <f>C7*C8</f>
        <v>0</v>
      </c>
      <c r="D9" s="4">
        <f>D7*D8</f>
        <v>0</v>
      </c>
      <c r="E9" s="4">
        <f>E7*E8</f>
        <v>0</v>
      </c>
      <c r="F9" s="4">
        <f>F7*F8</f>
        <v>0</v>
      </c>
      <c r="G9" s="4">
        <f>G7*G8</f>
        <v>0</v>
      </c>
      <c r="H9" s="4">
        <f>H7*H8</f>
        <v>0</v>
      </c>
      <c r="I9" s="4">
        <f>I7*I8</f>
        <v>0</v>
      </c>
      <c r="J9" s="4">
        <f>J7*J8</f>
        <v>0</v>
      </c>
      <c r="K9" s="4">
        <f>K7*K8</f>
        <v>0</v>
      </c>
      <c r="L9" s="4">
        <f>L7*L8</f>
        <v>0</v>
      </c>
      <c r="M9" s="4">
        <f>M7*M8</f>
        <v>0</v>
      </c>
      <c r="N9" s="4">
        <f>N7*N8</f>
        <v>0</v>
      </c>
      <c r="O9" s="4">
        <f>O7*O8</f>
        <v>0</v>
      </c>
      <c r="P9" s="4">
        <f>P7*P8</f>
        <v>0</v>
      </c>
      <c r="Q9" s="4">
        <f>Q7*Q8</f>
        <v>0</v>
      </c>
    </row>
    <row r="10" ht="18" customHeight="1">
      <c r="A10" s="0" t="inlineStr">
        <is>
          <t xml:space="preserve">Clinical eligibility</t>
        </is>
      </c>
      <c r="B10" s="0" t="inlineStr">
        <is>
          <t xml:space="preserve">%</t>
        </is>
      </c>
      <c r="C10" s="6">
        <f>Assumptions!$C$8</f>
        <v>0</v>
      </c>
      <c r="D10" s="6">
        <f>Assumptions!$C$8</f>
        <v>0</v>
      </c>
      <c r="E10" s="6">
        <f>Assumptions!$C$8</f>
        <v>0</v>
      </c>
      <c r="F10" s="6">
        <f>Assumptions!$C$8</f>
        <v>0</v>
      </c>
      <c r="G10" s="6">
        <f>Assumptions!$C$8</f>
        <v>0</v>
      </c>
      <c r="H10" s="6">
        <f>Assumptions!$C$8</f>
        <v>0</v>
      </c>
      <c r="I10" s="6">
        <f>Assumptions!$C$8</f>
        <v>0</v>
      </c>
      <c r="J10" s="6">
        <f>Assumptions!$C$8</f>
        <v>0</v>
      </c>
      <c r="K10" s="6">
        <f>Assumptions!$C$8</f>
        <v>0</v>
      </c>
      <c r="L10" s="6">
        <f>Assumptions!$C$8</f>
        <v>0</v>
      </c>
      <c r="M10" s="6">
        <f>Assumptions!$C$8</f>
        <v>0</v>
      </c>
      <c r="N10" s="6">
        <f>Assumptions!$C$8</f>
        <v>0</v>
      </c>
      <c r="O10" s="6">
        <f>Assumptions!$C$8</f>
        <v>0</v>
      </c>
      <c r="P10" s="6">
        <f>Assumptions!$C$8</f>
        <v>0</v>
      </c>
      <c r="Q10" s="6">
        <f>Assumptions!$C$8</f>
        <v>0</v>
      </c>
    </row>
    <row r="11" ht="18" customHeight="1">
      <c r="A11" s="0" t="inlineStr">
        <is>
          <t xml:space="preserve">Eligible patients</t>
        </is>
      </c>
      <c r="B11" s="0" t="inlineStr">
        <is>
          <t xml:space="preserve">patients</t>
        </is>
      </c>
      <c r="C11" s="4">
        <f>C9*C10</f>
        <v>0</v>
      </c>
      <c r="D11" s="4">
        <f>D9*D10</f>
        <v>0</v>
      </c>
      <c r="E11" s="4">
        <f>E9*E10</f>
        <v>0</v>
      </c>
      <c r="F11" s="4">
        <f>F9*F10</f>
        <v>0</v>
      </c>
      <c r="G11" s="4">
        <f>G9*G10</f>
        <v>0</v>
      </c>
      <c r="H11" s="4">
        <f>H9*H10</f>
        <v>0</v>
      </c>
      <c r="I11" s="4">
        <f>I9*I10</f>
        <v>0</v>
      </c>
      <c r="J11" s="4">
        <f>J9*J10</f>
        <v>0</v>
      </c>
      <c r="K11" s="4">
        <f>K9*K10</f>
        <v>0</v>
      </c>
      <c r="L11" s="4">
        <f>L9*L10</f>
        <v>0</v>
      </c>
      <c r="M11" s="4">
        <f>M9*M10</f>
        <v>0</v>
      </c>
      <c r="N11" s="4">
        <f>N9*N10</f>
        <v>0</v>
      </c>
      <c r="O11" s="4">
        <f>O9*O10</f>
        <v>0</v>
      </c>
      <c r="P11" s="4">
        <f>P9*P10</f>
        <v>0</v>
      </c>
      <c r="Q11" s="4">
        <f>Q9*Q10</f>
        <v>0</v>
      </c>
    </row>
    <row r="12" ht="18" customHeight="1">
      <c r="A12" s="0" t="inlineStr">
        <is>
          <t xml:space="preserve">Product share</t>
        </is>
      </c>
      <c r="B12" s="0" t="inlineStr">
        <is>
          <t xml:space="preserve">%</t>
        </is>
      </c>
      <c r="C12" s="6">
        <f>IF(2026&lt;Assumptions!$C$9,0,MIN(Assumptions!$C$10,(2026-Assumptions!$C$9+1)/Assumptions!$C$11*Assumptions!$C$10))</f>
        <v>0</v>
      </c>
      <c r="D12" s="6">
        <f>IF(2027&lt;Assumptions!$C$9,0,MIN(Assumptions!$C$10,(2027-Assumptions!$C$9+1)/Assumptions!$C$11*Assumptions!$C$10))</f>
        <v>0</v>
      </c>
      <c r="E12" s="6">
        <f>IF(2028&lt;Assumptions!$C$9,0,MIN(Assumptions!$C$10,(2028-Assumptions!$C$9+1)/Assumptions!$C$11*Assumptions!$C$10))</f>
        <v>0</v>
      </c>
      <c r="F12" s="6">
        <f>IF(2029&lt;Assumptions!$C$9,0,MIN(Assumptions!$C$10,(2029-Assumptions!$C$9+1)/Assumptions!$C$11*Assumptions!$C$10))</f>
        <v>0</v>
      </c>
      <c r="G12" s="6">
        <f>IF(2030&lt;Assumptions!$C$9,0,MIN(Assumptions!$C$10,(2030-Assumptions!$C$9+1)/Assumptions!$C$11*Assumptions!$C$10))</f>
        <v>0</v>
      </c>
      <c r="H12" s="6">
        <f>IF(2031&lt;Assumptions!$C$9,0,MIN(Assumptions!$C$10,(2031-Assumptions!$C$9+1)/Assumptions!$C$11*Assumptions!$C$10))</f>
        <v>0</v>
      </c>
      <c r="I12" s="6">
        <f>IF(2032&lt;Assumptions!$C$9,0,MIN(Assumptions!$C$10,(2032-Assumptions!$C$9+1)/Assumptions!$C$11*Assumptions!$C$10))</f>
        <v>0</v>
      </c>
      <c r="J12" s="6">
        <f>IF(2033&lt;Assumptions!$C$9,0,MIN(Assumptions!$C$10,(2033-Assumptions!$C$9+1)/Assumptions!$C$11*Assumptions!$C$10))</f>
        <v>0</v>
      </c>
      <c r="K12" s="6">
        <f>IF(2034&lt;Assumptions!$C$9,0,MIN(Assumptions!$C$10,(2034-Assumptions!$C$9+1)/Assumptions!$C$11*Assumptions!$C$10))</f>
        <v>0</v>
      </c>
      <c r="L12" s="6">
        <f>IF(2035&lt;Assumptions!$C$9,0,MIN(Assumptions!$C$10,(2035-Assumptions!$C$9+1)/Assumptions!$C$11*Assumptions!$C$10))</f>
        <v>0</v>
      </c>
      <c r="M12" s="6">
        <f>IF(2036&lt;Assumptions!$C$9,0,MIN(Assumptions!$C$10,(2036-Assumptions!$C$9+1)/Assumptions!$C$11*Assumptions!$C$10))</f>
        <v>0</v>
      </c>
      <c r="N12" s="6">
        <f>IF(2037&lt;Assumptions!$C$9,0,MIN(Assumptions!$C$10,(2037-Assumptions!$C$9+1)/Assumptions!$C$11*Assumptions!$C$10))</f>
        <v>0</v>
      </c>
      <c r="O12" s="6">
        <f>IF(2038&lt;Assumptions!$C$9,0,MIN(Assumptions!$C$10,(2038-Assumptions!$C$9+1)/Assumptions!$C$11*Assumptions!$C$10))</f>
        <v>0</v>
      </c>
      <c r="P12" s="6">
        <f>IF(2039&lt;Assumptions!$C$9,0,MIN(Assumptions!$C$10,(2039-Assumptions!$C$9+1)/Assumptions!$C$11*Assumptions!$C$10))</f>
        <v>0</v>
      </c>
      <c r="Q12" s="6">
        <f>IF(2040&lt;Assumptions!$C$9,0,MIN(Assumptions!$C$10,(2040-Assumptions!$C$9+1)/Assumptions!$C$11*Assumptions!$C$10))</f>
        <v>0</v>
      </c>
    </row>
    <row r="13" ht="18" customHeight="1">
      <c r="A13" s="0" t="inlineStr">
        <is>
          <t xml:space="preserve">Product patients</t>
        </is>
      </c>
      <c r="B13" s="0" t="inlineStr">
        <is>
          <t xml:space="preserve">patients</t>
        </is>
      </c>
      <c r="C13" s="4">
        <f>C11*C12</f>
        <v>0</v>
      </c>
      <c r="D13" s="4">
        <f>D11*D12</f>
        <v>0</v>
      </c>
      <c r="E13" s="4">
        <f>E11*E12</f>
        <v>0</v>
      </c>
      <c r="F13" s="4">
        <f>F11*F12</f>
        <v>0</v>
      </c>
      <c r="G13" s="4">
        <f>G11*G12</f>
        <v>0</v>
      </c>
      <c r="H13" s="4">
        <f>H11*H12</f>
        <v>0</v>
      </c>
      <c r="I13" s="4">
        <f>I11*I12</f>
        <v>0</v>
      </c>
      <c r="J13" s="4">
        <f>J11*J12</f>
        <v>0</v>
      </c>
      <c r="K13" s="4">
        <f>K11*K12</f>
        <v>0</v>
      </c>
      <c r="L13" s="4">
        <f>L11*L12</f>
        <v>0</v>
      </c>
      <c r="M13" s="4">
        <f>M11*M12</f>
        <v>0</v>
      </c>
      <c r="N13" s="4">
        <f>N11*N12</f>
        <v>0</v>
      </c>
      <c r="O13" s="4">
        <f>O11*O12</f>
        <v>0</v>
      </c>
      <c r="P13" s="4">
        <f>P11*P12</f>
        <v>0</v>
      </c>
      <c r="Q13" s="4">
        <f>Q11*Q12</f>
        <v>0</v>
      </c>
    </row>
    <row r="14" ht="18" customHeight="1">
      <c r="A14" s="0" t="inlineStr">
        <is>
          <t xml:space="preserve">Annual doses per patient</t>
        </is>
      </c>
      <c r="B14" s="0" t="inlineStr">
        <is>
          <t xml:space="preserve">doses</t>
        </is>
      </c>
      <c r="C14" s="4">
        <f>Assumptions!$C$12</f>
        <v>0</v>
      </c>
      <c r="D14" s="4">
        <f>Assumptions!$C$12</f>
        <v>0</v>
      </c>
      <c r="E14" s="4">
        <f>Assumptions!$C$12</f>
        <v>0</v>
      </c>
      <c r="F14" s="4">
        <f>Assumptions!$C$12</f>
        <v>0</v>
      </c>
      <c r="G14" s="4">
        <f>Assumptions!$C$12</f>
        <v>0</v>
      </c>
      <c r="H14" s="4">
        <f>Assumptions!$C$12</f>
        <v>0</v>
      </c>
      <c r="I14" s="4">
        <f>Assumptions!$C$12</f>
        <v>0</v>
      </c>
      <c r="J14" s="4">
        <f>Assumptions!$C$12</f>
        <v>0</v>
      </c>
      <c r="K14" s="4">
        <f>Assumptions!$C$12</f>
        <v>0</v>
      </c>
      <c r="L14" s="4">
        <f>Assumptions!$C$12</f>
        <v>0</v>
      </c>
      <c r="M14" s="4">
        <f>Assumptions!$C$12</f>
        <v>0</v>
      </c>
      <c r="N14" s="4">
        <f>Assumptions!$C$12</f>
        <v>0</v>
      </c>
      <c r="O14" s="4">
        <f>Assumptions!$C$12</f>
        <v>0</v>
      </c>
      <c r="P14" s="4">
        <f>Assumptions!$C$12</f>
        <v>0</v>
      </c>
      <c r="Q14" s="4">
        <f>Assumptions!$C$12</f>
        <v>0</v>
      </c>
    </row>
    <row r="15" ht="18" customHeight="1">
      <c r="A15" s="0" t="inlineStr">
        <is>
          <t xml:space="preserve">Adherence</t>
        </is>
      </c>
      <c r="B15" s="0" t="inlineStr">
        <is>
          <t xml:space="preserve">%</t>
        </is>
      </c>
      <c r="C15" s="6">
        <f>Assumptions!$C$13</f>
        <v>0</v>
      </c>
      <c r="D15" s="6">
        <f>Assumptions!$C$13</f>
        <v>0</v>
      </c>
      <c r="E15" s="6">
        <f>Assumptions!$C$13</f>
        <v>0</v>
      </c>
      <c r="F15" s="6">
        <f>Assumptions!$C$13</f>
        <v>0</v>
      </c>
      <c r="G15" s="6">
        <f>Assumptions!$C$13</f>
        <v>0</v>
      </c>
      <c r="H15" s="6">
        <f>Assumptions!$C$13</f>
        <v>0</v>
      </c>
      <c r="I15" s="6">
        <f>Assumptions!$C$13</f>
        <v>0</v>
      </c>
      <c r="J15" s="6">
        <f>Assumptions!$C$13</f>
        <v>0</v>
      </c>
      <c r="K15" s="6">
        <f>Assumptions!$C$13</f>
        <v>0</v>
      </c>
      <c r="L15" s="6">
        <f>Assumptions!$C$13</f>
        <v>0</v>
      </c>
      <c r="M15" s="6">
        <f>Assumptions!$C$13</f>
        <v>0</v>
      </c>
      <c r="N15" s="6">
        <f>Assumptions!$C$13</f>
        <v>0</v>
      </c>
      <c r="O15" s="6">
        <f>Assumptions!$C$13</f>
        <v>0</v>
      </c>
      <c r="P15" s="6">
        <f>Assumptions!$C$13</f>
        <v>0</v>
      </c>
      <c r="Q15" s="6">
        <f>Assumptions!$C$13</f>
        <v>0</v>
      </c>
    </row>
    <row r="16" ht="18" customHeight="1">
      <c r="A16" s="0" t="inlineStr">
        <is>
          <t xml:space="preserve">Product volume</t>
        </is>
      </c>
      <c r="B16" s="0" t="inlineStr">
        <is>
          <t xml:space="preserve">doses</t>
        </is>
      </c>
      <c r="C16" s="4">
        <f>C13*C14*C15</f>
        <v>0</v>
      </c>
      <c r="D16" s="4">
        <f>D13*D14*D15</f>
        <v>0</v>
      </c>
      <c r="E16" s="4">
        <f>E13*E14*E15</f>
        <v>0</v>
      </c>
      <c r="F16" s="4">
        <f>F13*F14*F15</f>
        <v>0</v>
      </c>
      <c r="G16" s="4">
        <f>G13*G14*G15</f>
        <v>0</v>
      </c>
      <c r="H16" s="4">
        <f>H13*H14*H15</f>
        <v>0</v>
      </c>
      <c r="I16" s="4">
        <f>I13*I14*I15</f>
        <v>0</v>
      </c>
      <c r="J16" s="4">
        <f>J13*J14*J15</f>
        <v>0</v>
      </c>
      <c r="K16" s="4">
        <f>K13*K14*K15</f>
        <v>0</v>
      </c>
      <c r="L16" s="4">
        <f>L13*L14*L15</f>
        <v>0</v>
      </c>
      <c r="M16" s="4">
        <f>M13*M14*M15</f>
        <v>0</v>
      </c>
      <c r="N16" s="4">
        <f>N13*N14*N15</f>
        <v>0</v>
      </c>
      <c r="O16" s="4">
        <f>O13*O14*O15</f>
        <v>0</v>
      </c>
      <c r="P16" s="4">
        <f>P13*P14*P15</f>
        <v>0</v>
      </c>
      <c r="Q16" s="4">
        <f>Q13*Q14*Q15</f>
        <v>0</v>
      </c>
    </row>
    <row r="17" ht="18" customHeight="1">
      <c r="A17" s="0" t="inlineStr">
        <is>
          <t xml:space="preserve">List price per dose</t>
        </is>
      </c>
      <c r="B17" s="0" t="inlineStr">
        <is>
          <t xml:space="preserve">currency</t>
        </is>
      </c>
      <c r="C17" s="7">
        <f>Assumptions!$C$14*(1+Assumptions!$C$15)^0</f>
        <v>0</v>
      </c>
      <c r="D17" s="7">
        <f>Assumptions!$C$14*(1+Assumptions!$C$15)^1</f>
        <v>0</v>
      </c>
      <c r="E17" s="7">
        <f>Assumptions!$C$14*(1+Assumptions!$C$15)^2</f>
        <v>0</v>
      </c>
      <c r="F17" s="7">
        <f>Assumptions!$C$14*(1+Assumptions!$C$15)^3</f>
        <v>0</v>
      </c>
      <c r="G17" s="7">
        <f>Assumptions!$C$14*(1+Assumptions!$C$15)^4</f>
        <v>0</v>
      </c>
      <c r="H17" s="7">
        <f>Assumptions!$C$14*(1+Assumptions!$C$15)^5</f>
        <v>0</v>
      </c>
      <c r="I17" s="7">
        <f>Assumptions!$C$14*(1+Assumptions!$C$15)^6</f>
        <v>0</v>
      </c>
      <c r="J17" s="7">
        <f>Assumptions!$C$14*(1+Assumptions!$C$15)^7</f>
        <v>0</v>
      </c>
      <c r="K17" s="7">
        <f>Assumptions!$C$14*(1+Assumptions!$C$15)^8</f>
        <v>0</v>
      </c>
      <c r="L17" s="7">
        <f>Assumptions!$C$14*(1+Assumptions!$C$15)^9</f>
        <v>0</v>
      </c>
      <c r="M17" s="7">
        <f>Assumptions!$C$14*(1+Assumptions!$C$15)^10</f>
        <v>0</v>
      </c>
      <c r="N17" s="7">
        <f>Assumptions!$C$14*(1+Assumptions!$C$15)^11</f>
        <v>0</v>
      </c>
      <c r="O17" s="7">
        <f>Assumptions!$C$14*(1+Assumptions!$C$15)^12</f>
        <v>0</v>
      </c>
      <c r="P17" s="7">
        <f>Assumptions!$C$14*(1+Assumptions!$C$15)^13</f>
        <v>0</v>
      </c>
      <c r="Q17" s="7">
        <f>Assumptions!$C$14*(1+Assumptions!$C$15)^14</f>
        <v>0</v>
      </c>
    </row>
    <row r="18" ht="18" customHeight="1">
      <c r="A18" s="0" t="inlineStr">
        <is>
          <t xml:space="preserve">Gross revenue</t>
        </is>
      </c>
      <c r="B18" s="0" t="inlineStr">
        <is>
          <t xml:space="preserve">currency</t>
        </is>
      </c>
      <c r="C18" s="7">
        <f>C16*C17</f>
        <v>0</v>
      </c>
      <c r="D18" s="7">
        <f>D16*D17</f>
        <v>0</v>
      </c>
      <c r="E18" s="7">
        <f>E16*E17</f>
        <v>0</v>
      </c>
      <c r="F18" s="7">
        <f>F16*F17</f>
        <v>0</v>
      </c>
      <c r="G18" s="7">
        <f>G16*G17</f>
        <v>0</v>
      </c>
      <c r="H18" s="7">
        <f>H16*H17</f>
        <v>0</v>
      </c>
      <c r="I18" s="7">
        <f>I16*I17</f>
        <v>0</v>
      </c>
      <c r="J18" s="7">
        <f>J16*J17</f>
        <v>0</v>
      </c>
      <c r="K18" s="7">
        <f>K16*K17</f>
        <v>0</v>
      </c>
      <c r="L18" s="7">
        <f>L16*L17</f>
        <v>0</v>
      </c>
      <c r="M18" s="7">
        <f>M16*M17</f>
        <v>0</v>
      </c>
      <c r="N18" s="7">
        <f>N16*N17</f>
        <v>0</v>
      </c>
      <c r="O18" s="7">
        <f>O16*O17</f>
        <v>0</v>
      </c>
      <c r="P18" s="7">
        <f>P16*P17</f>
        <v>0</v>
      </c>
      <c r="Q18" s="7">
        <f>Q16*Q17</f>
        <v>0</v>
      </c>
    </row>
    <row r="19" ht="18" customHeight="1">
      <c r="A19" s="0" t="inlineStr">
        <is>
          <t xml:space="preserve">Gross-to-net discount</t>
        </is>
      </c>
      <c r="B19" s="0" t="inlineStr">
        <is>
          <t xml:space="preserve">%</t>
        </is>
      </c>
      <c r="C19" s="6">
        <f>Assumptions!$C$16</f>
        <v>0</v>
      </c>
      <c r="D19" s="6">
        <f>Assumptions!$C$16</f>
        <v>0</v>
      </c>
      <c r="E19" s="6">
        <f>Assumptions!$C$16</f>
        <v>0</v>
      </c>
      <c r="F19" s="6">
        <f>Assumptions!$C$16</f>
        <v>0</v>
      </c>
      <c r="G19" s="6">
        <f>Assumptions!$C$16</f>
        <v>0</v>
      </c>
      <c r="H19" s="6">
        <f>Assumptions!$C$16</f>
        <v>0</v>
      </c>
      <c r="I19" s="6">
        <f>Assumptions!$C$16</f>
        <v>0</v>
      </c>
      <c r="J19" s="6">
        <f>Assumptions!$C$16</f>
        <v>0</v>
      </c>
      <c r="K19" s="6">
        <f>Assumptions!$C$16</f>
        <v>0</v>
      </c>
      <c r="L19" s="6">
        <f>Assumptions!$C$16</f>
        <v>0</v>
      </c>
      <c r="M19" s="6">
        <f>Assumptions!$C$16</f>
        <v>0</v>
      </c>
      <c r="N19" s="6">
        <f>Assumptions!$C$16</f>
        <v>0</v>
      </c>
      <c r="O19" s="6">
        <f>Assumptions!$C$16</f>
        <v>0</v>
      </c>
      <c r="P19" s="6">
        <f>Assumptions!$C$16</f>
        <v>0</v>
      </c>
      <c r="Q19" s="6">
        <f>Assumptions!$C$16</f>
        <v>0</v>
      </c>
    </row>
    <row r="20" ht="18" customHeight="1">
      <c r="A20" s="0" t="inlineStr">
        <is>
          <t xml:space="preserve">Net revenue</t>
        </is>
      </c>
      <c r="B20" s="0" t="inlineStr">
        <is>
          <t xml:space="preserve">currency</t>
        </is>
      </c>
      <c r="C20" s="7">
        <f>C18*(1-C19)</f>
        <v>0</v>
      </c>
      <c r="D20" s="7">
        <f>D18*(1-D19)</f>
        <v>0</v>
      </c>
      <c r="E20" s="7">
        <f>E18*(1-E19)</f>
        <v>0</v>
      </c>
      <c r="F20" s="7">
        <f>F18*(1-F19)</f>
        <v>0</v>
      </c>
      <c r="G20" s="7">
        <f>G18*(1-G19)</f>
        <v>0</v>
      </c>
      <c r="H20" s="7">
        <f>H18*(1-H19)</f>
        <v>0</v>
      </c>
      <c r="I20" s="7">
        <f>I18*(1-I19)</f>
        <v>0</v>
      </c>
      <c r="J20" s="7">
        <f>J18*(1-J19)</f>
        <v>0</v>
      </c>
      <c r="K20" s="7">
        <f>K18*(1-K19)</f>
        <v>0</v>
      </c>
      <c r="L20" s="7">
        <f>L18*(1-L19)</f>
        <v>0</v>
      </c>
      <c r="M20" s="7">
        <f>M18*(1-M19)</f>
        <v>0</v>
      </c>
      <c r="N20" s="7">
        <f>N18*(1-N19)</f>
        <v>0</v>
      </c>
      <c r="O20" s="7">
        <f>O18*(1-O19)</f>
        <v>0</v>
      </c>
      <c r="P20" s="7">
        <f>P18*(1-P19)</f>
        <v>0</v>
      </c>
      <c r="Q20" s="7">
        <f>Q18*(1-Q19)</f>
        <v>0</v>
      </c>
    </row>
    <row r="21" ht="18" customHeight="1"/>
    <row r="22" ht="18" customHeight="1">
      <c r="A22" s="2" t="inlineStr">
        <is>
          <t xml:space="preserve">Strong Scenario</t>
        </is>
      </c>
    </row>
    <row r="23" ht="18" customHeight="1">
      <c r="A23" s="1" t="inlineStr">
        <is>
          <t xml:space="preserve">Metric</t>
        </is>
      </c>
      <c r="B23" s="1" t="inlineStr">
        <is>
          <t xml:space="preserve">Unit</t>
        </is>
      </c>
      <c r="C23" s="1">
        <v>2026</v>
      </c>
      <c r="D23" s="1">
        <v>2027</v>
      </c>
      <c r="E23" s="1">
        <v>2028</v>
      </c>
      <c r="F23" s="1">
        <v>2029</v>
      </c>
      <c r="G23" s="1">
        <v>2030</v>
      </c>
      <c r="H23" s="1">
        <v>2031</v>
      </c>
      <c r="I23" s="1">
        <v>2032</v>
      </c>
      <c r="J23" s="1">
        <v>2033</v>
      </c>
      <c r="K23" s="1">
        <v>2034</v>
      </c>
      <c r="L23" s="1">
        <v>2035</v>
      </c>
      <c r="M23" s="1">
        <v>2036</v>
      </c>
      <c r="N23" s="1">
        <v>2037</v>
      </c>
      <c r="O23" s="1">
        <v>2038</v>
      </c>
      <c r="P23" s="1">
        <v>2039</v>
      </c>
      <c r="Q23" s="1">
        <v>2040</v>
      </c>
    </row>
    <row r="24" ht="18" customHeight="1">
      <c r="A24" s="0" t="inlineStr">
        <is>
          <t xml:space="preserve">Population</t>
        </is>
      </c>
      <c r="B24" s="0" t="inlineStr">
        <is>
          <t xml:space="preserve">patients</t>
        </is>
      </c>
      <c r="C24" s="4">
        <f>Assumptions!$D$2</f>
        <v>0</v>
      </c>
      <c r="D24" s="4">
        <f>B25*(1+Assumptions!$D$3)</f>
        <v>0</v>
      </c>
      <c r="E24" s="4">
        <f>C25*(1+Assumptions!$D$3)</f>
        <v>0</v>
      </c>
      <c r="F24" s="4">
        <f>D25*(1+Assumptions!$D$3)</f>
        <v>0</v>
      </c>
      <c r="G24" s="4">
        <f>E25*(1+Assumptions!$D$3)</f>
        <v>0</v>
      </c>
      <c r="H24" s="4">
        <f>F25*(1+Assumptions!$D$3)</f>
        <v>0</v>
      </c>
      <c r="I24" s="4">
        <f>G25*(1+Assumptions!$D$3)</f>
        <v>0</v>
      </c>
      <c r="J24" s="4">
        <f>H25*(1+Assumptions!$D$3)</f>
        <v>0</v>
      </c>
      <c r="K24" s="4">
        <f>I25*(1+Assumptions!$D$3)</f>
        <v>0</v>
      </c>
      <c r="L24" s="4">
        <f>J25*(1+Assumptions!$D$3)</f>
        <v>0</v>
      </c>
      <c r="M24" s="4">
        <f>K25*(1+Assumptions!$D$3)</f>
        <v>0</v>
      </c>
      <c r="N24" s="4">
        <f>L25*(1+Assumptions!$D$3)</f>
        <v>0</v>
      </c>
      <c r="O24" s="4">
        <f>M25*(1+Assumptions!$D$3)</f>
        <v>0</v>
      </c>
      <c r="P24" s="4">
        <f>N25*(1+Assumptions!$D$3)</f>
        <v>0</v>
      </c>
      <c r="Q24" s="4">
        <f>O25*(1+Assumptions!$D$3)</f>
        <v>0</v>
      </c>
    </row>
    <row r="25" ht="18" customHeight="1">
      <c r="A25" s="0" t="inlineStr">
        <is>
          <t xml:space="preserve">Prevalence rate</t>
        </is>
      </c>
      <c r="B25" s="0" t="inlineStr">
        <is>
          <t xml:space="preserve">%</t>
        </is>
      </c>
      <c r="C25" s="6">
        <f>Assumptions!$D$4</f>
        <v>0</v>
      </c>
      <c r="D25" s="6">
        <f>Assumptions!$D$4</f>
        <v>0</v>
      </c>
      <c r="E25" s="6">
        <f>Assumptions!$D$4</f>
        <v>0</v>
      </c>
      <c r="F25" s="6">
        <f>Assumptions!$D$4</f>
        <v>0</v>
      </c>
      <c r="G25" s="6">
        <f>Assumptions!$D$4</f>
        <v>0</v>
      </c>
      <c r="H25" s="6">
        <f>Assumptions!$D$4</f>
        <v>0</v>
      </c>
      <c r="I25" s="6">
        <f>Assumptions!$D$4</f>
        <v>0</v>
      </c>
      <c r="J25" s="6">
        <f>Assumptions!$D$4</f>
        <v>0</v>
      </c>
      <c r="K25" s="6">
        <f>Assumptions!$D$4</f>
        <v>0</v>
      </c>
      <c r="L25" s="6">
        <f>Assumptions!$D$4</f>
        <v>0</v>
      </c>
      <c r="M25" s="6">
        <f>Assumptions!$D$4</f>
        <v>0</v>
      </c>
      <c r="N25" s="6">
        <f>Assumptions!$D$4</f>
        <v>0</v>
      </c>
      <c r="O25" s="6">
        <f>Assumptions!$D$4</f>
        <v>0</v>
      </c>
      <c r="P25" s="6">
        <f>Assumptions!$D$4</f>
        <v>0</v>
      </c>
      <c r="Q25" s="6">
        <f>Assumptions!$D$4</f>
        <v>0</v>
      </c>
    </row>
    <row r="26" ht="18" customHeight="1">
      <c r="A26" s="0" t="inlineStr">
        <is>
          <t xml:space="preserve">Prevalent patients</t>
        </is>
      </c>
      <c r="B26" s="0" t="inlineStr">
        <is>
          <t xml:space="preserve">patients</t>
        </is>
      </c>
      <c r="C26" s="4">
        <f>C25*C26</f>
        <v>0</v>
      </c>
      <c r="D26" s="4">
        <f>D25*D26</f>
        <v>0</v>
      </c>
      <c r="E26" s="4">
        <f>E25*E26</f>
        <v>0</v>
      </c>
      <c r="F26" s="4">
        <f>F25*F26</f>
        <v>0</v>
      </c>
      <c r="G26" s="4">
        <f>G25*G26</f>
        <v>0</v>
      </c>
      <c r="H26" s="4">
        <f>H25*H26</f>
        <v>0</v>
      </c>
      <c r="I26" s="4">
        <f>I25*I26</f>
        <v>0</v>
      </c>
      <c r="J26" s="4">
        <f>J25*J26</f>
        <v>0</v>
      </c>
      <c r="K26" s="4">
        <f>K25*K26</f>
        <v>0</v>
      </c>
      <c r="L26" s="4">
        <f>L25*L26</f>
        <v>0</v>
      </c>
      <c r="M26" s="4">
        <f>M25*M26</f>
        <v>0</v>
      </c>
      <c r="N26" s="4">
        <f>N25*N26</f>
        <v>0</v>
      </c>
      <c r="O26" s="4">
        <f>O25*O26</f>
        <v>0</v>
      </c>
      <c r="P26" s="4">
        <f>P25*P26</f>
        <v>0</v>
      </c>
      <c r="Q26" s="4">
        <f>Q25*Q26</f>
        <v>0</v>
      </c>
    </row>
    <row r="27" ht="18" customHeight="1">
      <c r="A27" s="0" t="inlineStr">
        <is>
          <t xml:space="preserve">Diagnosis rate</t>
        </is>
      </c>
      <c r="B27" s="0" t="inlineStr">
        <is>
          <t xml:space="preserve">%</t>
        </is>
      </c>
      <c r="C27" s="6">
        <f>Assumptions!$D$5+(Assumptions!$D$6-Assumptions!$D$5)*0/14</f>
        <v>0</v>
      </c>
      <c r="D27" s="6">
        <f>Assumptions!$D$5+(Assumptions!$D$6-Assumptions!$D$5)*1/14</f>
        <v>0</v>
      </c>
      <c r="E27" s="6">
        <f>Assumptions!$D$5+(Assumptions!$D$6-Assumptions!$D$5)*2/14</f>
        <v>0</v>
      </c>
      <c r="F27" s="6">
        <f>Assumptions!$D$5+(Assumptions!$D$6-Assumptions!$D$5)*3/14</f>
        <v>0</v>
      </c>
      <c r="G27" s="6">
        <f>Assumptions!$D$5+(Assumptions!$D$6-Assumptions!$D$5)*4/14</f>
        <v>0</v>
      </c>
      <c r="H27" s="6">
        <f>Assumptions!$D$5+(Assumptions!$D$6-Assumptions!$D$5)*5/14</f>
        <v>0</v>
      </c>
      <c r="I27" s="6">
        <f>Assumptions!$D$5+(Assumptions!$D$6-Assumptions!$D$5)*6/14</f>
        <v>0</v>
      </c>
      <c r="J27" s="6">
        <f>Assumptions!$D$5+(Assumptions!$D$6-Assumptions!$D$5)*7/14</f>
        <v>0</v>
      </c>
      <c r="K27" s="6">
        <f>Assumptions!$D$5+(Assumptions!$D$6-Assumptions!$D$5)*8/14</f>
        <v>0</v>
      </c>
      <c r="L27" s="6">
        <f>Assumptions!$D$5+(Assumptions!$D$6-Assumptions!$D$5)*9/14</f>
        <v>0</v>
      </c>
      <c r="M27" s="6">
        <f>Assumptions!$D$5+(Assumptions!$D$6-Assumptions!$D$5)*10/14</f>
        <v>0</v>
      </c>
      <c r="N27" s="6">
        <f>Assumptions!$D$5+(Assumptions!$D$6-Assumptions!$D$5)*11/14</f>
        <v>0</v>
      </c>
      <c r="O27" s="6">
        <f>Assumptions!$D$5+(Assumptions!$D$6-Assumptions!$D$5)*12/14</f>
        <v>0</v>
      </c>
      <c r="P27" s="6">
        <f>Assumptions!$D$5+(Assumptions!$D$6-Assumptions!$D$5)*13/14</f>
        <v>0</v>
      </c>
      <c r="Q27" s="6">
        <f>Assumptions!$D$5+(Assumptions!$D$6-Assumptions!$D$5)*14/14</f>
        <v>0</v>
      </c>
    </row>
    <row r="28" ht="18" customHeight="1">
      <c r="A28" s="0" t="inlineStr">
        <is>
          <t xml:space="preserve">Diagnosed patients</t>
        </is>
      </c>
      <c r="B28" s="0" t="inlineStr">
        <is>
          <t xml:space="preserve">patients</t>
        </is>
      </c>
      <c r="C28" s="4">
        <f>C27*C28</f>
        <v>0</v>
      </c>
      <c r="D28" s="4">
        <f>D27*D28</f>
        <v>0</v>
      </c>
      <c r="E28" s="4">
        <f>E27*E28</f>
        <v>0</v>
      </c>
      <c r="F28" s="4">
        <f>F27*F28</f>
        <v>0</v>
      </c>
      <c r="G28" s="4">
        <f>G27*G28</f>
        <v>0</v>
      </c>
      <c r="H28" s="4">
        <f>H27*H28</f>
        <v>0</v>
      </c>
      <c r="I28" s="4">
        <f>I27*I28</f>
        <v>0</v>
      </c>
      <c r="J28" s="4">
        <f>J27*J28</f>
        <v>0</v>
      </c>
      <c r="K28" s="4">
        <f>K27*K28</f>
        <v>0</v>
      </c>
      <c r="L28" s="4">
        <f>L27*L28</f>
        <v>0</v>
      </c>
      <c r="M28" s="4">
        <f>M27*M28</f>
        <v>0</v>
      </c>
      <c r="N28" s="4">
        <f>N27*N28</f>
        <v>0</v>
      </c>
      <c r="O28" s="4">
        <f>O27*O28</f>
        <v>0</v>
      </c>
      <c r="P28" s="4">
        <f>P27*P28</f>
        <v>0</v>
      </c>
      <c r="Q28" s="4">
        <f>Q27*Q28</f>
        <v>0</v>
      </c>
    </row>
    <row r="29" ht="18" customHeight="1">
      <c r="A29" s="0" t="inlineStr">
        <is>
          <t xml:space="preserve">Treatment rate</t>
        </is>
      </c>
      <c r="B29" s="0" t="inlineStr">
        <is>
          <t xml:space="preserve">%</t>
        </is>
      </c>
      <c r="C29" s="6">
        <f>Assumptions!$D$7</f>
        <v>0</v>
      </c>
      <c r="D29" s="6">
        <f>Assumptions!$D$7</f>
        <v>0</v>
      </c>
      <c r="E29" s="6">
        <f>Assumptions!$D$7</f>
        <v>0</v>
      </c>
      <c r="F29" s="6">
        <f>Assumptions!$D$7</f>
        <v>0</v>
      </c>
      <c r="G29" s="6">
        <f>Assumptions!$D$7</f>
        <v>0</v>
      </c>
      <c r="H29" s="6">
        <f>Assumptions!$D$7</f>
        <v>0</v>
      </c>
      <c r="I29" s="6">
        <f>Assumptions!$D$7</f>
        <v>0</v>
      </c>
      <c r="J29" s="6">
        <f>Assumptions!$D$7</f>
        <v>0</v>
      </c>
      <c r="K29" s="6">
        <f>Assumptions!$D$7</f>
        <v>0</v>
      </c>
      <c r="L29" s="6">
        <f>Assumptions!$D$7</f>
        <v>0</v>
      </c>
      <c r="M29" s="6">
        <f>Assumptions!$D$7</f>
        <v>0</v>
      </c>
      <c r="N29" s="6">
        <f>Assumptions!$D$7</f>
        <v>0</v>
      </c>
      <c r="O29" s="6">
        <f>Assumptions!$D$7</f>
        <v>0</v>
      </c>
      <c r="P29" s="6">
        <f>Assumptions!$D$7</f>
        <v>0</v>
      </c>
      <c r="Q29" s="6">
        <f>Assumptions!$D$7</f>
        <v>0</v>
      </c>
    </row>
    <row r="30" ht="18" customHeight="1">
      <c r="A30" s="0" t="inlineStr">
        <is>
          <t xml:space="preserve">Treated patients</t>
        </is>
      </c>
      <c r="B30" s="0" t="inlineStr">
        <is>
          <t xml:space="preserve">patients</t>
        </is>
      </c>
      <c r="C30" s="4">
        <f>C29*C30</f>
        <v>0</v>
      </c>
      <c r="D30" s="4">
        <f>D29*D30</f>
        <v>0</v>
      </c>
      <c r="E30" s="4">
        <f>E29*E30</f>
        <v>0</v>
      </c>
      <c r="F30" s="4">
        <f>F29*F30</f>
        <v>0</v>
      </c>
      <c r="G30" s="4">
        <f>G29*G30</f>
        <v>0</v>
      </c>
      <c r="H30" s="4">
        <f>H29*H30</f>
        <v>0</v>
      </c>
      <c r="I30" s="4">
        <f>I29*I30</f>
        <v>0</v>
      </c>
      <c r="J30" s="4">
        <f>J29*J30</f>
        <v>0</v>
      </c>
      <c r="K30" s="4">
        <f>K29*K30</f>
        <v>0</v>
      </c>
      <c r="L30" s="4">
        <f>L29*L30</f>
        <v>0</v>
      </c>
      <c r="M30" s="4">
        <f>M29*M30</f>
        <v>0</v>
      </c>
      <c r="N30" s="4">
        <f>N29*N30</f>
        <v>0</v>
      </c>
      <c r="O30" s="4">
        <f>O29*O30</f>
        <v>0</v>
      </c>
      <c r="P30" s="4">
        <f>P29*P30</f>
        <v>0</v>
      </c>
      <c r="Q30" s="4">
        <f>Q29*Q30</f>
        <v>0</v>
      </c>
    </row>
    <row r="31" ht="18" customHeight="1">
      <c r="A31" s="0" t="inlineStr">
        <is>
          <t xml:space="preserve">Clinical eligibility</t>
        </is>
      </c>
      <c r="B31" s="0" t="inlineStr">
        <is>
          <t xml:space="preserve">%</t>
        </is>
      </c>
      <c r="C31" s="6">
        <f>Assumptions!$D$8</f>
        <v>0</v>
      </c>
      <c r="D31" s="6">
        <f>Assumptions!$D$8</f>
        <v>0</v>
      </c>
      <c r="E31" s="6">
        <f>Assumptions!$D$8</f>
        <v>0</v>
      </c>
      <c r="F31" s="6">
        <f>Assumptions!$D$8</f>
        <v>0</v>
      </c>
      <c r="G31" s="6">
        <f>Assumptions!$D$8</f>
        <v>0</v>
      </c>
      <c r="H31" s="6">
        <f>Assumptions!$D$8</f>
        <v>0</v>
      </c>
      <c r="I31" s="6">
        <f>Assumptions!$D$8</f>
        <v>0</v>
      </c>
      <c r="J31" s="6">
        <f>Assumptions!$D$8</f>
        <v>0</v>
      </c>
      <c r="K31" s="6">
        <f>Assumptions!$D$8</f>
        <v>0</v>
      </c>
      <c r="L31" s="6">
        <f>Assumptions!$D$8</f>
        <v>0</v>
      </c>
      <c r="M31" s="6">
        <f>Assumptions!$D$8</f>
        <v>0</v>
      </c>
      <c r="N31" s="6">
        <f>Assumptions!$D$8</f>
        <v>0</v>
      </c>
      <c r="O31" s="6">
        <f>Assumptions!$D$8</f>
        <v>0</v>
      </c>
      <c r="P31" s="6">
        <f>Assumptions!$D$8</f>
        <v>0</v>
      </c>
      <c r="Q31" s="6">
        <f>Assumptions!$D$8</f>
        <v>0</v>
      </c>
    </row>
    <row r="32" ht="18" customHeight="1">
      <c r="A32" s="0" t="inlineStr">
        <is>
          <t xml:space="preserve">Eligible patients</t>
        </is>
      </c>
      <c r="B32" s="0" t="inlineStr">
        <is>
          <t xml:space="preserve">patients</t>
        </is>
      </c>
      <c r="C32" s="4">
        <f>C31*C32</f>
        <v>0</v>
      </c>
      <c r="D32" s="4">
        <f>D31*D32</f>
        <v>0</v>
      </c>
      <c r="E32" s="4">
        <f>E31*E32</f>
        <v>0</v>
      </c>
      <c r="F32" s="4">
        <f>F31*F32</f>
        <v>0</v>
      </c>
      <c r="G32" s="4">
        <f>G31*G32</f>
        <v>0</v>
      </c>
      <c r="H32" s="4">
        <f>H31*H32</f>
        <v>0</v>
      </c>
      <c r="I32" s="4">
        <f>I31*I32</f>
        <v>0</v>
      </c>
      <c r="J32" s="4">
        <f>J31*J32</f>
        <v>0</v>
      </c>
      <c r="K32" s="4">
        <f>K31*K32</f>
        <v>0</v>
      </c>
      <c r="L32" s="4">
        <f>L31*L32</f>
        <v>0</v>
      </c>
      <c r="M32" s="4">
        <f>M31*M32</f>
        <v>0</v>
      </c>
      <c r="N32" s="4">
        <f>N31*N32</f>
        <v>0</v>
      </c>
      <c r="O32" s="4">
        <f>O31*O32</f>
        <v>0</v>
      </c>
      <c r="P32" s="4">
        <f>P31*P32</f>
        <v>0</v>
      </c>
      <c r="Q32" s="4">
        <f>Q31*Q32</f>
        <v>0</v>
      </c>
    </row>
    <row r="33" ht="18" customHeight="1">
      <c r="A33" s="0" t="inlineStr">
        <is>
          <t xml:space="preserve">Product share</t>
        </is>
      </c>
      <c r="B33" s="0" t="inlineStr">
        <is>
          <t xml:space="preserve">%</t>
        </is>
      </c>
      <c r="C33" s="6">
        <f>IF(2026&lt;Assumptions!$D$9,0,MIN(Assumptions!$D$10,(2026-Assumptions!$D$9+1)/Assumptions!$D$11*Assumptions!$D$10))</f>
        <v>0</v>
      </c>
      <c r="D33" s="6">
        <f>IF(2027&lt;Assumptions!$D$9,0,MIN(Assumptions!$D$10,(2027-Assumptions!$D$9+1)/Assumptions!$D$11*Assumptions!$D$10))</f>
        <v>0</v>
      </c>
      <c r="E33" s="6">
        <f>IF(2028&lt;Assumptions!$D$9,0,MIN(Assumptions!$D$10,(2028-Assumptions!$D$9+1)/Assumptions!$D$11*Assumptions!$D$10))</f>
        <v>0</v>
      </c>
      <c r="F33" s="6">
        <f>IF(2029&lt;Assumptions!$D$9,0,MIN(Assumptions!$D$10,(2029-Assumptions!$D$9+1)/Assumptions!$D$11*Assumptions!$D$10))</f>
        <v>0</v>
      </c>
      <c r="G33" s="6">
        <f>IF(2030&lt;Assumptions!$D$9,0,MIN(Assumptions!$D$10,(2030-Assumptions!$D$9+1)/Assumptions!$D$11*Assumptions!$D$10))</f>
        <v>0</v>
      </c>
      <c r="H33" s="6">
        <f>IF(2031&lt;Assumptions!$D$9,0,MIN(Assumptions!$D$10,(2031-Assumptions!$D$9+1)/Assumptions!$D$11*Assumptions!$D$10))</f>
        <v>0</v>
      </c>
      <c r="I33" s="6">
        <f>IF(2032&lt;Assumptions!$D$9,0,MIN(Assumptions!$D$10,(2032-Assumptions!$D$9+1)/Assumptions!$D$11*Assumptions!$D$10))</f>
        <v>0</v>
      </c>
      <c r="J33" s="6">
        <f>IF(2033&lt;Assumptions!$D$9,0,MIN(Assumptions!$D$10,(2033-Assumptions!$D$9+1)/Assumptions!$D$11*Assumptions!$D$10))</f>
        <v>0</v>
      </c>
      <c r="K33" s="6">
        <f>IF(2034&lt;Assumptions!$D$9,0,MIN(Assumptions!$D$10,(2034-Assumptions!$D$9+1)/Assumptions!$D$11*Assumptions!$D$10))</f>
        <v>0</v>
      </c>
      <c r="L33" s="6">
        <f>IF(2035&lt;Assumptions!$D$9,0,MIN(Assumptions!$D$10,(2035-Assumptions!$D$9+1)/Assumptions!$D$11*Assumptions!$D$10))</f>
        <v>0</v>
      </c>
      <c r="M33" s="6">
        <f>IF(2036&lt;Assumptions!$D$9,0,MIN(Assumptions!$D$10,(2036-Assumptions!$D$9+1)/Assumptions!$D$11*Assumptions!$D$10))</f>
        <v>0</v>
      </c>
      <c r="N33" s="6">
        <f>IF(2037&lt;Assumptions!$D$9,0,MIN(Assumptions!$D$10,(2037-Assumptions!$D$9+1)/Assumptions!$D$11*Assumptions!$D$10))</f>
        <v>0</v>
      </c>
      <c r="O33" s="6">
        <f>IF(2038&lt;Assumptions!$D$9,0,MIN(Assumptions!$D$10,(2038-Assumptions!$D$9+1)/Assumptions!$D$11*Assumptions!$D$10))</f>
        <v>0</v>
      </c>
      <c r="P33" s="6">
        <f>IF(2039&lt;Assumptions!$D$9,0,MIN(Assumptions!$D$10,(2039-Assumptions!$D$9+1)/Assumptions!$D$11*Assumptions!$D$10))</f>
        <v>0</v>
      </c>
      <c r="Q33" s="6">
        <f>IF(2040&lt;Assumptions!$D$9,0,MIN(Assumptions!$D$10,(2040-Assumptions!$D$9+1)/Assumptions!$D$11*Assumptions!$D$10))</f>
        <v>0</v>
      </c>
    </row>
    <row r="34" ht="18" customHeight="1">
      <c r="A34" s="0" t="inlineStr">
        <is>
          <t xml:space="preserve">Product patients</t>
        </is>
      </c>
      <c r="B34" s="0" t="inlineStr">
        <is>
          <t xml:space="preserve">patients</t>
        </is>
      </c>
      <c r="C34" s="4">
        <f>C33*C34</f>
        <v>0</v>
      </c>
      <c r="D34" s="4">
        <f>D33*D34</f>
        <v>0</v>
      </c>
      <c r="E34" s="4">
        <f>E33*E34</f>
        <v>0</v>
      </c>
      <c r="F34" s="4">
        <f>F33*F34</f>
        <v>0</v>
      </c>
      <c r="G34" s="4">
        <f>G33*G34</f>
        <v>0</v>
      </c>
      <c r="H34" s="4">
        <f>H33*H34</f>
        <v>0</v>
      </c>
      <c r="I34" s="4">
        <f>I33*I34</f>
        <v>0</v>
      </c>
      <c r="J34" s="4">
        <f>J33*J34</f>
        <v>0</v>
      </c>
      <c r="K34" s="4">
        <f>K33*K34</f>
        <v>0</v>
      </c>
      <c r="L34" s="4">
        <f>L33*L34</f>
        <v>0</v>
      </c>
      <c r="M34" s="4">
        <f>M33*M34</f>
        <v>0</v>
      </c>
      <c r="N34" s="4">
        <f>N33*N34</f>
        <v>0</v>
      </c>
      <c r="O34" s="4">
        <f>O33*O34</f>
        <v>0</v>
      </c>
      <c r="P34" s="4">
        <f>P33*P34</f>
        <v>0</v>
      </c>
      <c r="Q34" s="4">
        <f>Q33*Q34</f>
        <v>0</v>
      </c>
    </row>
    <row r="35" ht="18" customHeight="1">
      <c r="A35" s="0" t="inlineStr">
        <is>
          <t xml:space="preserve">Annual doses per patient</t>
        </is>
      </c>
      <c r="B35" s="0" t="inlineStr">
        <is>
          <t xml:space="preserve">doses</t>
        </is>
      </c>
      <c r="C35" s="4">
        <f>Assumptions!$D$12</f>
        <v>0</v>
      </c>
      <c r="D35" s="4">
        <f>Assumptions!$D$12</f>
        <v>0</v>
      </c>
      <c r="E35" s="4">
        <f>Assumptions!$D$12</f>
        <v>0</v>
      </c>
      <c r="F35" s="4">
        <f>Assumptions!$D$12</f>
        <v>0</v>
      </c>
      <c r="G35" s="4">
        <f>Assumptions!$D$12</f>
        <v>0</v>
      </c>
      <c r="H35" s="4">
        <f>Assumptions!$D$12</f>
        <v>0</v>
      </c>
      <c r="I35" s="4">
        <f>Assumptions!$D$12</f>
        <v>0</v>
      </c>
      <c r="J35" s="4">
        <f>Assumptions!$D$12</f>
        <v>0</v>
      </c>
      <c r="K35" s="4">
        <f>Assumptions!$D$12</f>
        <v>0</v>
      </c>
      <c r="L35" s="4">
        <f>Assumptions!$D$12</f>
        <v>0</v>
      </c>
      <c r="M35" s="4">
        <f>Assumptions!$D$12</f>
        <v>0</v>
      </c>
      <c r="N35" s="4">
        <f>Assumptions!$D$12</f>
        <v>0</v>
      </c>
      <c r="O35" s="4">
        <f>Assumptions!$D$12</f>
        <v>0</v>
      </c>
      <c r="P35" s="4">
        <f>Assumptions!$D$12</f>
        <v>0</v>
      </c>
      <c r="Q35" s="4">
        <f>Assumptions!$D$12</f>
        <v>0</v>
      </c>
    </row>
    <row r="36" ht="18" customHeight="1">
      <c r="A36" s="0" t="inlineStr">
        <is>
          <t xml:space="preserve">Adherence</t>
        </is>
      </c>
      <c r="B36" s="0" t="inlineStr">
        <is>
          <t xml:space="preserve">%</t>
        </is>
      </c>
      <c r="C36" s="6">
        <f>Assumptions!$D$13</f>
        <v>0</v>
      </c>
      <c r="D36" s="6">
        <f>Assumptions!$D$13</f>
        <v>0</v>
      </c>
      <c r="E36" s="6">
        <f>Assumptions!$D$13</f>
        <v>0</v>
      </c>
      <c r="F36" s="6">
        <f>Assumptions!$D$13</f>
        <v>0</v>
      </c>
      <c r="G36" s="6">
        <f>Assumptions!$D$13</f>
        <v>0</v>
      </c>
      <c r="H36" s="6">
        <f>Assumptions!$D$13</f>
        <v>0</v>
      </c>
      <c r="I36" s="6">
        <f>Assumptions!$D$13</f>
        <v>0</v>
      </c>
      <c r="J36" s="6">
        <f>Assumptions!$D$13</f>
        <v>0</v>
      </c>
      <c r="K36" s="6">
        <f>Assumptions!$D$13</f>
        <v>0</v>
      </c>
      <c r="L36" s="6">
        <f>Assumptions!$D$13</f>
        <v>0</v>
      </c>
      <c r="M36" s="6">
        <f>Assumptions!$D$13</f>
        <v>0</v>
      </c>
      <c r="N36" s="6">
        <f>Assumptions!$D$13</f>
        <v>0</v>
      </c>
      <c r="O36" s="6">
        <f>Assumptions!$D$13</f>
        <v>0</v>
      </c>
      <c r="P36" s="6">
        <f>Assumptions!$D$13</f>
        <v>0</v>
      </c>
      <c r="Q36" s="6">
        <f>Assumptions!$D$13</f>
        <v>0</v>
      </c>
    </row>
    <row r="37" ht="18" customHeight="1">
      <c r="A37" s="0" t="inlineStr">
        <is>
          <t xml:space="preserve">Product volume</t>
        </is>
      </c>
      <c r="B37" s="0" t="inlineStr">
        <is>
          <t xml:space="preserve">doses</t>
        </is>
      </c>
      <c r="C37" s="4">
        <f>C35*C36*C37</f>
        <v>0</v>
      </c>
      <c r="D37" s="4">
        <f>D35*D36*D37</f>
        <v>0</v>
      </c>
      <c r="E37" s="4">
        <f>E35*E36*E37</f>
        <v>0</v>
      </c>
      <c r="F37" s="4">
        <f>F35*F36*F37</f>
        <v>0</v>
      </c>
      <c r="G37" s="4">
        <f>G35*G36*G37</f>
        <v>0</v>
      </c>
      <c r="H37" s="4">
        <f>H35*H36*H37</f>
        <v>0</v>
      </c>
      <c r="I37" s="4">
        <f>I35*I36*I37</f>
        <v>0</v>
      </c>
      <c r="J37" s="4">
        <f>J35*J36*J37</f>
        <v>0</v>
      </c>
      <c r="K37" s="4">
        <f>K35*K36*K37</f>
        <v>0</v>
      </c>
      <c r="L37" s="4">
        <f>L35*L36*L37</f>
        <v>0</v>
      </c>
      <c r="M37" s="4">
        <f>M35*M36*M37</f>
        <v>0</v>
      </c>
      <c r="N37" s="4">
        <f>N35*N36*N37</f>
        <v>0</v>
      </c>
      <c r="O37" s="4">
        <f>O35*O36*O37</f>
        <v>0</v>
      </c>
      <c r="P37" s="4">
        <f>P35*P36*P37</f>
        <v>0</v>
      </c>
      <c r="Q37" s="4">
        <f>Q35*Q36*Q37</f>
        <v>0</v>
      </c>
    </row>
    <row r="38" ht="18" customHeight="1">
      <c r="A38" s="0" t="inlineStr">
        <is>
          <t xml:space="preserve">List price per dose</t>
        </is>
      </c>
      <c r="B38" s="0" t="inlineStr">
        <is>
          <t xml:space="preserve">currency</t>
        </is>
      </c>
      <c r="C38" s="7">
        <f>Assumptions!$D$14*(1+Assumptions!$D$15)^0</f>
        <v>0</v>
      </c>
      <c r="D38" s="7">
        <f>Assumptions!$D$14*(1+Assumptions!$D$15)^1</f>
        <v>0</v>
      </c>
      <c r="E38" s="7">
        <f>Assumptions!$D$14*(1+Assumptions!$D$15)^2</f>
        <v>0</v>
      </c>
      <c r="F38" s="7">
        <f>Assumptions!$D$14*(1+Assumptions!$D$15)^3</f>
        <v>0</v>
      </c>
      <c r="G38" s="7">
        <f>Assumptions!$D$14*(1+Assumptions!$D$15)^4</f>
        <v>0</v>
      </c>
      <c r="H38" s="7">
        <f>Assumptions!$D$14*(1+Assumptions!$D$15)^5</f>
        <v>0</v>
      </c>
      <c r="I38" s="7">
        <f>Assumptions!$D$14*(1+Assumptions!$D$15)^6</f>
        <v>0</v>
      </c>
      <c r="J38" s="7">
        <f>Assumptions!$D$14*(1+Assumptions!$D$15)^7</f>
        <v>0</v>
      </c>
      <c r="K38" s="7">
        <f>Assumptions!$D$14*(1+Assumptions!$D$15)^8</f>
        <v>0</v>
      </c>
      <c r="L38" s="7">
        <f>Assumptions!$D$14*(1+Assumptions!$D$15)^9</f>
        <v>0</v>
      </c>
      <c r="M38" s="7">
        <f>Assumptions!$D$14*(1+Assumptions!$D$15)^10</f>
        <v>0</v>
      </c>
      <c r="N38" s="7">
        <f>Assumptions!$D$14*(1+Assumptions!$D$15)^11</f>
        <v>0</v>
      </c>
      <c r="O38" s="7">
        <f>Assumptions!$D$14*(1+Assumptions!$D$15)^12</f>
        <v>0</v>
      </c>
      <c r="P38" s="7">
        <f>Assumptions!$D$14*(1+Assumptions!$D$15)^13</f>
        <v>0</v>
      </c>
      <c r="Q38" s="7">
        <f>Assumptions!$D$14*(1+Assumptions!$D$15)^14</f>
        <v>0</v>
      </c>
    </row>
    <row r="39" ht="18" customHeight="1">
      <c r="A39" s="0" t="inlineStr">
        <is>
          <t xml:space="preserve">Gross revenue</t>
        </is>
      </c>
      <c r="B39" s="0" t="inlineStr">
        <is>
          <t xml:space="preserve">currency</t>
        </is>
      </c>
      <c r="C39" s="7">
        <f>C38*C39</f>
        <v>0</v>
      </c>
      <c r="D39" s="7">
        <f>D38*D39</f>
        <v>0</v>
      </c>
      <c r="E39" s="7">
        <f>E38*E39</f>
        <v>0</v>
      </c>
      <c r="F39" s="7">
        <f>F38*F39</f>
        <v>0</v>
      </c>
      <c r="G39" s="7">
        <f>G38*G39</f>
        <v>0</v>
      </c>
      <c r="H39" s="7">
        <f>H38*H39</f>
        <v>0</v>
      </c>
      <c r="I39" s="7">
        <f>I38*I39</f>
        <v>0</v>
      </c>
      <c r="J39" s="7">
        <f>J38*J39</f>
        <v>0</v>
      </c>
      <c r="K39" s="7">
        <f>K38*K39</f>
        <v>0</v>
      </c>
      <c r="L39" s="7">
        <f>L38*L39</f>
        <v>0</v>
      </c>
      <c r="M39" s="7">
        <f>M38*M39</f>
        <v>0</v>
      </c>
      <c r="N39" s="7">
        <f>N38*N39</f>
        <v>0</v>
      </c>
      <c r="O39" s="7">
        <f>O38*O39</f>
        <v>0</v>
      </c>
      <c r="P39" s="7">
        <f>P38*P39</f>
        <v>0</v>
      </c>
      <c r="Q39" s="7">
        <f>Q38*Q39</f>
        <v>0</v>
      </c>
    </row>
    <row r="40" ht="18" customHeight="1">
      <c r="A40" s="0" t="inlineStr">
        <is>
          <t xml:space="preserve">Gross-to-net discount</t>
        </is>
      </c>
      <c r="B40" s="0" t="inlineStr">
        <is>
          <t xml:space="preserve">%</t>
        </is>
      </c>
      <c r="C40" s="6">
        <f>Assumptions!$D$16</f>
        <v>0</v>
      </c>
      <c r="D40" s="6">
        <f>Assumptions!$D$16</f>
        <v>0</v>
      </c>
      <c r="E40" s="6">
        <f>Assumptions!$D$16</f>
        <v>0</v>
      </c>
      <c r="F40" s="6">
        <f>Assumptions!$D$16</f>
        <v>0</v>
      </c>
      <c r="G40" s="6">
        <f>Assumptions!$D$16</f>
        <v>0</v>
      </c>
      <c r="H40" s="6">
        <f>Assumptions!$D$16</f>
        <v>0</v>
      </c>
      <c r="I40" s="6">
        <f>Assumptions!$D$16</f>
        <v>0</v>
      </c>
      <c r="J40" s="6">
        <f>Assumptions!$D$16</f>
        <v>0</v>
      </c>
      <c r="K40" s="6">
        <f>Assumptions!$D$16</f>
        <v>0</v>
      </c>
      <c r="L40" s="6">
        <f>Assumptions!$D$16</f>
        <v>0</v>
      </c>
      <c r="M40" s="6">
        <f>Assumptions!$D$16</f>
        <v>0</v>
      </c>
      <c r="N40" s="6">
        <f>Assumptions!$D$16</f>
        <v>0</v>
      </c>
      <c r="O40" s="6">
        <f>Assumptions!$D$16</f>
        <v>0</v>
      </c>
      <c r="P40" s="6">
        <f>Assumptions!$D$16</f>
        <v>0</v>
      </c>
      <c r="Q40" s="6">
        <f>Assumptions!$D$16</f>
        <v>0</v>
      </c>
    </row>
    <row r="41" ht="18" customHeight="1">
      <c r="A41" s="0" t="inlineStr">
        <is>
          <t xml:space="preserve">Net revenue</t>
        </is>
      </c>
      <c r="B41" s="0" t="inlineStr">
        <is>
          <t xml:space="preserve">currency</t>
        </is>
      </c>
      <c r="C41" s="7">
        <f>C40*(1-C41)</f>
        <v>0</v>
      </c>
      <c r="D41" s="7">
        <f>D40*(1-D41)</f>
        <v>0</v>
      </c>
      <c r="E41" s="7">
        <f>E40*(1-E41)</f>
        <v>0</v>
      </c>
      <c r="F41" s="7">
        <f>F40*(1-F41)</f>
        <v>0</v>
      </c>
      <c r="G41" s="7">
        <f>G40*(1-G41)</f>
        <v>0</v>
      </c>
      <c r="H41" s="7">
        <f>H40*(1-H41)</f>
        <v>0</v>
      </c>
      <c r="I41" s="7">
        <f>I40*(1-I41)</f>
        <v>0</v>
      </c>
      <c r="J41" s="7">
        <f>J40*(1-J41)</f>
        <v>0</v>
      </c>
      <c r="K41" s="7">
        <f>K40*(1-K41)</f>
        <v>0</v>
      </c>
      <c r="L41" s="7">
        <f>L40*(1-L41)</f>
        <v>0</v>
      </c>
      <c r="M41" s="7">
        <f>M40*(1-M41)</f>
        <v>0</v>
      </c>
      <c r="N41" s="7">
        <f>N40*(1-N41)</f>
        <v>0</v>
      </c>
      <c r="O41" s="7">
        <f>O40*(1-O41)</f>
        <v>0</v>
      </c>
      <c r="P41" s="7">
        <f>P40*(1-P41)</f>
        <v>0</v>
      </c>
      <c r="Q41" s="7">
        <f>Q40*(1-Q41)</f>
        <v>0</v>
      </c>
    </row>
    <row r="42" ht="18" customHeight="1"/>
    <row r="43" ht="18" customHeight="1">
      <c r="A43" s="2" t="inlineStr">
        <is>
          <t xml:space="preserve">Weak Scenario</t>
        </is>
      </c>
    </row>
    <row r="44" ht="18" customHeight="1">
      <c r="A44" s="1" t="inlineStr">
        <is>
          <t xml:space="preserve">Metric</t>
        </is>
      </c>
      <c r="B44" s="1" t="inlineStr">
        <is>
          <t xml:space="preserve">Unit</t>
        </is>
      </c>
      <c r="C44" s="1">
        <v>2026</v>
      </c>
      <c r="D44" s="1">
        <v>2027</v>
      </c>
      <c r="E44" s="1">
        <v>2028</v>
      </c>
      <c r="F44" s="1">
        <v>2029</v>
      </c>
      <c r="G44" s="1">
        <v>2030</v>
      </c>
      <c r="H44" s="1">
        <v>2031</v>
      </c>
      <c r="I44" s="1">
        <v>2032</v>
      </c>
      <c r="J44" s="1">
        <v>2033</v>
      </c>
      <c r="K44" s="1">
        <v>2034</v>
      </c>
      <c r="L44" s="1">
        <v>2035</v>
      </c>
      <c r="M44" s="1">
        <v>2036</v>
      </c>
      <c r="N44" s="1">
        <v>2037</v>
      </c>
      <c r="O44" s="1">
        <v>2038</v>
      </c>
      <c r="P44" s="1">
        <v>2039</v>
      </c>
      <c r="Q44" s="1">
        <v>2040</v>
      </c>
    </row>
    <row r="45" ht="18" customHeight="1">
      <c r="A45" s="0" t="inlineStr">
        <is>
          <t xml:space="preserve">Population</t>
        </is>
      </c>
      <c r="B45" s="0" t="inlineStr">
        <is>
          <t xml:space="preserve">patients</t>
        </is>
      </c>
      <c r="C45" s="4">
        <f>Assumptions!$E$2</f>
        <v>0</v>
      </c>
      <c r="D45" s="4">
        <f>B47*(1+Assumptions!$E$3)</f>
        <v>0</v>
      </c>
      <c r="E45" s="4">
        <f>C47*(1+Assumptions!$E$3)</f>
        <v>0</v>
      </c>
      <c r="F45" s="4">
        <f>D47*(1+Assumptions!$E$3)</f>
        <v>0</v>
      </c>
      <c r="G45" s="4">
        <f>E47*(1+Assumptions!$E$3)</f>
        <v>0</v>
      </c>
      <c r="H45" s="4">
        <f>F47*(1+Assumptions!$E$3)</f>
        <v>0</v>
      </c>
      <c r="I45" s="4">
        <f>G47*(1+Assumptions!$E$3)</f>
        <v>0</v>
      </c>
      <c r="J45" s="4">
        <f>H47*(1+Assumptions!$E$3)</f>
        <v>0</v>
      </c>
      <c r="K45" s="4">
        <f>I47*(1+Assumptions!$E$3)</f>
        <v>0</v>
      </c>
      <c r="L45" s="4">
        <f>J47*(1+Assumptions!$E$3)</f>
        <v>0</v>
      </c>
      <c r="M45" s="4">
        <f>K47*(1+Assumptions!$E$3)</f>
        <v>0</v>
      </c>
      <c r="N45" s="4">
        <f>L47*(1+Assumptions!$E$3)</f>
        <v>0</v>
      </c>
      <c r="O45" s="4">
        <f>M47*(1+Assumptions!$E$3)</f>
        <v>0</v>
      </c>
      <c r="P45" s="4">
        <f>N47*(1+Assumptions!$E$3)</f>
        <v>0</v>
      </c>
      <c r="Q45" s="4">
        <f>O47*(1+Assumptions!$E$3)</f>
        <v>0</v>
      </c>
    </row>
    <row r="46" ht="18" customHeight="1">
      <c r="A46" s="0" t="inlineStr">
        <is>
          <t xml:space="preserve">Prevalence rate</t>
        </is>
      </c>
      <c r="B46" s="0" t="inlineStr">
        <is>
          <t xml:space="preserve">%</t>
        </is>
      </c>
      <c r="C46" s="6">
        <f>Assumptions!$E$4</f>
        <v>0</v>
      </c>
      <c r="D46" s="6">
        <f>Assumptions!$E$4</f>
        <v>0</v>
      </c>
      <c r="E46" s="6">
        <f>Assumptions!$E$4</f>
        <v>0</v>
      </c>
      <c r="F46" s="6">
        <f>Assumptions!$E$4</f>
        <v>0</v>
      </c>
      <c r="G46" s="6">
        <f>Assumptions!$E$4</f>
        <v>0</v>
      </c>
      <c r="H46" s="6">
        <f>Assumptions!$E$4</f>
        <v>0</v>
      </c>
      <c r="I46" s="6">
        <f>Assumptions!$E$4</f>
        <v>0</v>
      </c>
      <c r="J46" s="6">
        <f>Assumptions!$E$4</f>
        <v>0</v>
      </c>
      <c r="K46" s="6">
        <f>Assumptions!$E$4</f>
        <v>0</v>
      </c>
      <c r="L46" s="6">
        <f>Assumptions!$E$4</f>
        <v>0</v>
      </c>
      <c r="M46" s="6">
        <f>Assumptions!$E$4</f>
        <v>0</v>
      </c>
      <c r="N46" s="6">
        <f>Assumptions!$E$4</f>
        <v>0</v>
      </c>
      <c r="O46" s="6">
        <f>Assumptions!$E$4</f>
        <v>0</v>
      </c>
      <c r="P46" s="6">
        <f>Assumptions!$E$4</f>
        <v>0</v>
      </c>
      <c r="Q46" s="6">
        <f>Assumptions!$E$4</f>
        <v>0</v>
      </c>
    </row>
    <row r="47" ht="18" customHeight="1">
      <c r="A47" s="0" t="inlineStr">
        <is>
          <t xml:space="preserve">Prevalent patients</t>
        </is>
      </c>
      <c r="B47" s="0" t="inlineStr">
        <is>
          <t xml:space="preserve">patients</t>
        </is>
      </c>
      <c r="C47" s="4">
        <f>C47*C48</f>
        <v>0</v>
      </c>
      <c r="D47" s="4">
        <f>D47*D48</f>
        <v>0</v>
      </c>
      <c r="E47" s="4">
        <f>E47*E48</f>
        <v>0</v>
      </c>
      <c r="F47" s="4">
        <f>F47*F48</f>
        <v>0</v>
      </c>
      <c r="G47" s="4">
        <f>G47*G48</f>
        <v>0</v>
      </c>
      <c r="H47" s="4">
        <f>H47*H48</f>
        <v>0</v>
      </c>
      <c r="I47" s="4">
        <f>I47*I48</f>
        <v>0</v>
      </c>
      <c r="J47" s="4">
        <f>J47*J48</f>
        <v>0</v>
      </c>
      <c r="K47" s="4">
        <f>K47*K48</f>
        <v>0</v>
      </c>
      <c r="L47" s="4">
        <f>L47*L48</f>
        <v>0</v>
      </c>
      <c r="M47" s="4">
        <f>M47*M48</f>
        <v>0</v>
      </c>
      <c r="N47" s="4">
        <f>N47*N48</f>
        <v>0</v>
      </c>
      <c r="O47" s="4">
        <f>O47*O48</f>
        <v>0</v>
      </c>
      <c r="P47" s="4">
        <f>P47*P48</f>
        <v>0</v>
      </c>
      <c r="Q47" s="4">
        <f>Q47*Q48</f>
        <v>0</v>
      </c>
    </row>
    <row r="48" ht="18" customHeight="1">
      <c r="A48" s="0" t="inlineStr">
        <is>
          <t xml:space="preserve">Diagnosis rate</t>
        </is>
      </c>
      <c r="B48" s="0" t="inlineStr">
        <is>
          <t xml:space="preserve">%</t>
        </is>
      </c>
      <c r="C48" s="6">
        <f>Assumptions!$E$5+(Assumptions!$E$6-Assumptions!$E$5)*0/14</f>
        <v>0</v>
      </c>
      <c r="D48" s="6">
        <f>Assumptions!$E$5+(Assumptions!$E$6-Assumptions!$E$5)*1/14</f>
        <v>0</v>
      </c>
      <c r="E48" s="6">
        <f>Assumptions!$E$5+(Assumptions!$E$6-Assumptions!$E$5)*2/14</f>
        <v>0</v>
      </c>
      <c r="F48" s="6">
        <f>Assumptions!$E$5+(Assumptions!$E$6-Assumptions!$E$5)*3/14</f>
        <v>0</v>
      </c>
      <c r="G48" s="6">
        <f>Assumptions!$E$5+(Assumptions!$E$6-Assumptions!$E$5)*4/14</f>
        <v>0</v>
      </c>
      <c r="H48" s="6">
        <f>Assumptions!$E$5+(Assumptions!$E$6-Assumptions!$E$5)*5/14</f>
        <v>0</v>
      </c>
      <c r="I48" s="6">
        <f>Assumptions!$E$5+(Assumptions!$E$6-Assumptions!$E$5)*6/14</f>
        <v>0</v>
      </c>
      <c r="J48" s="6">
        <f>Assumptions!$E$5+(Assumptions!$E$6-Assumptions!$E$5)*7/14</f>
        <v>0</v>
      </c>
      <c r="K48" s="6">
        <f>Assumptions!$E$5+(Assumptions!$E$6-Assumptions!$E$5)*8/14</f>
        <v>0</v>
      </c>
      <c r="L48" s="6">
        <f>Assumptions!$E$5+(Assumptions!$E$6-Assumptions!$E$5)*9/14</f>
        <v>0</v>
      </c>
      <c r="M48" s="6">
        <f>Assumptions!$E$5+(Assumptions!$E$6-Assumptions!$E$5)*10/14</f>
        <v>0</v>
      </c>
      <c r="N48" s="6">
        <f>Assumptions!$E$5+(Assumptions!$E$6-Assumptions!$E$5)*11/14</f>
        <v>0</v>
      </c>
      <c r="O48" s="6">
        <f>Assumptions!$E$5+(Assumptions!$E$6-Assumptions!$E$5)*12/14</f>
        <v>0</v>
      </c>
      <c r="P48" s="6">
        <f>Assumptions!$E$5+(Assumptions!$E$6-Assumptions!$E$5)*13/14</f>
        <v>0</v>
      </c>
      <c r="Q48" s="6">
        <f>Assumptions!$E$5+(Assumptions!$E$6-Assumptions!$E$5)*14/14</f>
        <v>0</v>
      </c>
    </row>
    <row r="49" ht="18" customHeight="1">
      <c r="A49" s="0" t="inlineStr">
        <is>
          <t xml:space="preserve">Diagnosed patients</t>
        </is>
      </c>
      <c r="B49" s="0" t="inlineStr">
        <is>
          <t xml:space="preserve">patients</t>
        </is>
      </c>
      <c r="C49" s="4">
        <f>C49*C50</f>
        <v>0</v>
      </c>
      <c r="D49" s="4">
        <f>D49*D50</f>
        <v>0</v>
      </c>
      <c r="E49" s="4">
        <f>E49*E50</f>
        <v>0</v>
      </c>
      <c r="F49" s="4">
        <f>F49*F50</f>
        <v>0</v>
      </c>
      <c r="G49" s="4">
        <f>G49*G50</f>
        <v>0</v>
      </c>
      <c r="H49" s="4">
        <f>H49*H50</f>
        <v>0</v>
      </c>
      <c r="I49" s="4">
        <f>I49*I50</f>
        <v>0</v>
      </c>
      <c r="J49" s="4">
        <f>J49*J50</f>
        <v>0</v>
      </c>
      <c r="K49" s="4">
        <f>K49*K50</f>
        <v>0</v>
      </c>
      <c r="L49" s="4">
        <f>L49*L50</f>
        <v>0</v>
      </c>
      <c r="M49" s="4">
        <f>M49*M50</f>
        <v>0</v>
      </c>
      <c r="N49" s="4">
        <f>N49*N50</f>
        <v>0</v>
      </c>
      <c r="O49" s="4">
        <f>O49*O50</f>
        <v>0</v>
      </c>
      <c r="P49" s="4">
        <f>P49*P50</f>
        <v>0</v>
      </c>
      <c r="Q49" s="4">
        <f>Q49*Q50</f>
        <v>0</v>
      </c>
    </row>
    <row r="50" ht="18" customHeight="1">
      <c r="A50" s="0" t="inlineStr">
        <is>
          <t xml:space="preserve">Treatment rate</t>
        </is>
      </c>
      <c r="B50" s="0" t="inlineStr">
        <is>
          <t xml:space="preserve">%</t>
        </is>
      </c>
      <c r="C50" s="6">
        <f>Assumptions!$E$7</f>
        <v>0</v>
      </c>
      <c r="D50" s="6">
        <f>Assumptions!$E$7</f>
        <v>0</v>
      </c>
      <c r="E50" s="6">
        <f>Assumptions!$E$7</f>
        <v>0</v>
      </c>
      <c r="F50" s="6">
        <f>Assumptions!$E$7</f>
        <v>0</v>
      </c>
      <c r="G50" s="6">
        <f>Assumptions!$E$7</f>
        <v>0</v>
      </c>
      <c r="H50" s="6">
        <f>Assumptions!$E$7</f>
        <v>0</v>
      </c>
      <c r="I50" s="6">
        <f>Assumptions!$E$7</f>
        <v>0</v>
      </c>
      <c r="J50" s="6">
        <f>Assumptions!$E$7</f>
        <v>0</v>
      </c>
      <c r="K50" s="6">
        <f>Assumptions!$E$7</f>
        <v>0</v>
      </c>
      <c r="L50" s="6">
        <f>Assumptions!$E$7</f>
        <v>0</v>
      </c>
      <c r="M50" s="6">
        <f>Assumptions!$E$7</f>
        <v>0</v>
      </c>
      <c r="N50" s="6">
        <f>Assumptions!$E$7</f>
        <v>0</v>
      </c>
      <c r="O50" s="6">
        <f>Assumptions!$E$7</f>
        <v>0</v>
      </c>
      <c r="P50" s="6">
        <f>Assumptions!$E$7</f>
        <v>0</v>
      </c>
      <c r="Q50" s="6">
        <f>Assumptions!$E$7</f>
        <v>0</v>
      </c>
    </row>
    <row r="51" ht="18" customHeight="1">
      <c r="A51" s="0" t="inlineStr">
        <is>
          <t xml:space="preserve">Treated patients</t>
        </is>
      </c>
      <c r="B51" s="0" t="inlineStr">
        <is>
          <t xml:space="preserve">patients</t>
        </is>
      </c>
      <c r="C51" s="4">
        <f>C51*C52</f>
        <v>0</v>
      </c>
      <c r="D51" s="4">
        <f>D51*D52</f>
        <v>0</v>
      </c>
      <c r="E51" s="4">
        <f>E51*E52</f>
        <v>0</v>
      </c>
      <c r="F51" s="4">
        <f>F51*F52</f>
        <v>0</v>
      </c>
      <c r="G51" s="4">
        <f>G51*G52</f>
        <v>0</v>
      </c>
      <c r="H51" s="4">
        <f>H51*H52</f>
        <v>0</v>
      </c>
      <c r="I51" s="4">
        <f>I51*I52</f>
        <v>0</v>
      </c>
      <c r="J51" s="4">
        <f>J51*J52</f>
        <v>0</v>
      </c>
      <c r="K51" s="4">
        <f>K51*K52</f>
        <v>0</v>
      </c>
      <c r="L51" s="4">
        <f>L51*L52</f>
        <v>0</v>
      </c>
      <c r="M51" s="4">
        <f>M51*M52</f>
        <v>0</v>
      </c>
      <c r="N51" s="4">
        <f>N51*N52</f>
        <v>0</v>
      </c>
      <c r="O51" s="4">
        <f>O51*O52</f>
        <v>0</v>
      </c>
      <c r="P51" s="4">
        <f>P51*P52</f>
        <v>0</v>
      </c>
      <c r="Q51" s="4">
        <f>Q51*Q52</f>
        <v>0</v>
      </c>
    </row>
    <row r="52" ht="18" customHeight="1">
      <c r="A52" s="0" t="inlineStr">
        <is>
          <t xml:space="preserve">Clinical eligibility</t>
        </is>
      </c>
      <c r="B52" s="0" t="inlineStr">
        <is>
          <t xml:space="preserve">%</t>
        </is>
      </c>
      <c r="C52" s="6">
        <f>Assumptions!$E$8</f>
        <v>0</v>
      </c>
      <c r="D52" s="6">
        <f>Assumptions!$E$8</f>
        <v>0</v>
      </c>
      <c r="E52" s="6">
        <f>Assumptions!$E$8</f>
        <v>0</v>
      </c>
      <c r="F52" s="6">
        <f>Assumptions!$E$8</f>
        <v>0</v>
      </c>
      <c r="G52" s="6">
        <f>Assumptions!$E$8</f>
        <v>0</v>
      </c>
      <c r="H52" s="6">
        <f>Assumptions!$E$8</f>
        <v>0</v>
      </c>
      <c r="I52" s="6">
        <f>Assumptions!$E$8</f>
        <v>0</v>
      </c>
      <c r="J52" s="6">
        <f>Assumptions!$E$8</f>
        <v>0</v>
      </c>
      <c r="K52" s="6">
        <f>Assumptions!$E$8</f>
        <v>0</v>
      </c>
      <c r="L52" s="6">
        <f>Assumptions!$E$8</f>
        <v>0</v>
      </c>
      <c r="M52" s="6">
        <f>Assumptions!$E$8</f>
        <v>0</v>
      </c>
      <c r="N52" s="6">
        <f>Assumptions!$E$8</f>
        <v>0</v>
      </c>
      <c r="O52" s="6">
        <f>Assumptions!$E$8</f>
        <v>0</v>
      </c>
      <c r="P52" s="6">
        <f>Assumptions!$E$8</f>
        <v>0</v>
      </c>
      <c r="Q52" s="6">
        <f>Assumptions!$E$8</f>
        <v>0</v>
      </c>
    </row>
    <row r="53" ht="18" customHeight="1">
      <c r="A53" s="0" t="inlineStr">
        <is>
          <t xml:space="preserve">Eligible patients</t>
        </is>
      </c>
      <c r="B53" s="0" t="inlineStr">
        <is>
          <t xml:space="preserve">patients</t>
        </is>
      </c>
      <c r="C53" s="4">
        <f>C53*C54</f>
        <v>0</v>
      </c>
      <c r="D53" s="4">
        <f>D53*D54</f>
        <v>0</v>
      </c>
      <c r="E53" s="4">
        <f>E53*E54</f>
        <v>0</v>
      </c>
      <c r="F53" s="4">
        <f>F53*F54</f>
        <v>0</v>
      </c>
      <c r="G53" s="4">
        <f>G53*G54</f>
        <v>0</v>
      </c>
      <c r="H53" s="4">
        <f>H53*H54</f>
        <v>0</v>
      </c>
      <c r="I53" s="4">
        <f>I53*I54</f>
        <v>0</v>
      </c>
      <c r="J53" s="4">
        <f>J53*J54</f>
        <v>0</v>
      </c>
      <c r="K53" s="4">
        <f>K53*K54</f>
        <v>0</v>
      </c>
      <c r="L53" s="4">
        <f>L53*L54</f>
        <v>0</v>
      </c>
      <c r="M53" s="4">
        <f>M53*M54</f>
        <v>0</v>
      </c>
      <c r="N53" s="4">
        <f>N53*N54</f>
        <v>0</v>
      </c>
      <c r="O53" s="4">
        <f>O53*O54</f>
        <v>0</v>
      </c>
      <c r="P53" s="4">
        <f>P53*P54</f>
        <v>0</v>
      </c>
      <c r="Q53" s="4">
        <f>Q53*Q54</f>
        <v>0</v>
      </c>
    </row>
    <row r="54" ht="18" customHeight="1">
      <c r="A54" s="0" t="inlineStr">
        <is>
          <t xml:space="preserve">Product share</t>
        </is>
      </c>
      <c r="B54" s="0" t="inlineStr">
        <is>
          <t xml:space="preserve">%</t>
        </is>
      </c>
      <c r="C54" s="6">
        <f>IF(2026&lt;Assumptions!$E$9,0,MIN(Assumptions!$E$10,(2026-Assumptions!$E$9+1)/Assumptions!$E$11*Assumptions!$E$10))</f>
        <v>0</v>
      </c>
      <c r="D54" s="6">
        <f>IF(2027&lt;Assumptions!$E$9,0,MIN(Assumptions!$E$10,(2027-Assumptions!$E$9+1)/Assumptions!$E$11*Assumptions!$E$10))</f>
        <v>0</v>
      </c>
      <c r="E54" s="6">
        <f>IF(2028&lt;Assumptions!$E$9,0,MIN(Assumptions!$E$10,(2028-Assumptions!$E$9+1)/Assumptions!$E$11*Assumptions!$E$10))</f>
        <v>0</v>
      </c>
      <c r="F54" s="6">
        <f>IF(2029&lt;Assumptions!$E$9,0,MIN(Assumptions!$E$10,(2029-Assumptions!$E$9+1)/Assumptions!$E$11*Assumptions!$E$10))</f>
        <v>0</v>
      </c>
      <c r="G54" s="6">
        <f>IF(2030&lt;Assumptions!$E$9,0,MIN(Assumptions!$E$10,(2030-Assumptions!$E$9+1)/Assumptions!$E$11*Assumptions!$E$10))</f>
        <v>0</v>
      </c>
      <c r="H54" s="6">
        <f>IF(2031&lt;Assumptions!$E$9,0,MIN(Assumptions!$E$10,(2031-Assumptions!$E$9+1)/Assumptions!$E$11*Assumptions!$E$10))</f>
        <v>0</v>
      </c>
      <c r="I54" s="6">
        <f>IF(2032&lt;Assumptions!$E$9,0,MIN(Assumptions!$E$10,(2032-Assumptions!$E$9+1)/Assumptions!$E$11*Assumptions!$E$10))</f>
        <v>0</v>
      </c>
      <c r="J54" s="6">
        <f>IF(2033&lt;Assumptions!$E$9,0,MIN(Assumptions!$E$10,(2033-Assumptions!$E$9+1)/Assumptions!$E$11*Assumptions!$E$10))</f>
        <v>0</v>
      </c>
      <c r="K54" s="6">
        <f>IF(2034&lt;Assumptions!$E$9,0,MIN(Assumptions!$E$10,(2034-Assumptions!$E$9+1)/Assumptions!$E$11*Assumptions!$E$10))</f>
        <v>0</v>
      </c>
      <c r="L54" s="6">
        <f>IF(2035&lt;Assumptions!$E$9,0,MIN(Assumptions!$E$10,(2035-Assumptions!$E$9+1)/Assumptions!$E$11*Assumptions!$E$10))</f>
        <v>0</v>
      </c>
      <c r="M54" s="6">
        <f>IF(2036&lt;Assumptions!$E$9,0,MIN(Assumptions!$E$10,(2036-Assumptions!$E$9+1)/Assumptions!$E$11*Assumptions!$E$10))</f>
        <v>0</v>
      </c>
      <c r="N54" s="6">
        <f>IF(2037&lt;Assumptions!$E$9,0,MIN(Assumptions!$E$10,(2037-Assumptions!$E$9+1)/Assumptions!$E$11*Assumptions!$E$10))</f>
        <v>0</v>
      </c>
      <c r="O54" s="6">
        <f>IF(2038&lt;Assumptions!$E$9,0,MIN(Assumptions!$E$10,(2038-Assumptions!$E$9+1)/Assumptions!$E$11*Assumptions!$E$10))</f>
        <v>0</v>
      </c>
      <c r="P54" s="6">
        <f>IF(2039&lt;Assumptions!$E$9,0,MIN(Assumptions!$E$10,(2039-Assumptions!$E$9+1)/Assumptions!$E$11*Assumptions!$E$10))</f>
        <v>0</v>
      </c>
      <c r="Q54" s="6">
        <f>IF(2040&lt;Assumptions!$E$9,0,MIN(Assumptions!$E$10,(2040-Assumptions!$E$9+1)/Assumptions!$E$11*Assumptions!$E$10))</f>
        <v>0</v>
      </c>
    </row>
    <row r="55" ht="18" customHeight="1">
      <c r="A55" s="0" t="inlineStr">
        <is>
          <t xml:space="preserve">Product patients</t>
        </is>
      </c>
      <c r="B55" s="0" t="inlineStr">
        <is>
          <t xml:space="preserve">patients</t>
        </is>
      </c>
      <c r="C55" s="4">
        <f>C55*C56</f>
        <v>0</v>
      </c>
      <c r="D55" s="4">
        <f>D55*D56</f>
        <v>0</v>
      </c>
      <c r="E55" s="4">
        <f>E55*E56</f>
        <v>0</v>
      </c>
      <c r="F55" s="4">
        <f>F55*F56</f>
        <v>0</v>
      </c>
      <c r="G55" s="4">
        <f>G55*G56</f>
        <v>0</v>
      </c>
      <c r="H55" s="4">
        <f>H55*H56</f>
        <v>0</v>
      </c>
      <c r="I55" s="4">
        <f>I55*I56</f>
        <v>0</v>
      </c>
      <c r="J55" s="4">
        <f>J55*J56</f>
        <v>0</v>
      </c>
      <c r="K55" s="4">
        <f>K55*K56</f>
        <v>0</v>
      </c>
      <c r="L55" s="4">
        <f>L55*L56</f>
        <v>0</v>
      </c>
      <c r="M55" s="4">
        <f>M55*M56</f>
        <v>0</v>
      </c>
      <c r="N55" s="4">
        <f>N55*N56</f>
        <v>0</v>
      </c>
      <c r="O55" s="4">
        <f>O55*O56</f>
        <v>0</v>
      </c>
      <c r="P55" s="4">
        <f>P55*P56</f>
        <v>0</v>
      </c>
      <c r="Q55" s="4">
        <f>Q55*Q56</f>
        <v>0</v>
      </c>
    </row>
    <row r="56" ht="18" customHeight="1">
      <c r="A56" s="0" t="inlineStr">
        <is>
          <t xml:space="preserve">Annual doses per patient</t>
        </is>
      </c>
      <c r="B56" s="0" t="inlineStr">
        <is>
          <t xml:space="preserve">doses</t>
        </is>
      </c>
      <c r="C56" s="4">
        <f>Assumptions!$E$12</f>
        <v>0</v>
      </c>
      <c r="D56" s="4">
        <f>Assumptions!$E$12</f>
        <v>0</v>
      </c>
      <c r="E56" s="4">
        <f>Assumptions!$E$12</f>
        <v>0</v>
      </c>
      <c r="F56" s="4">
        <f>Assumptions!$E$12</f>
        <v>0</v>
      </c>
      <c r="G56" s="4">
        <f>Assumptions!$E$12</f>
        <v>0</v>
      </c>
      <c r="H56" s="4">
        <f>Assumptions!$E$12</f>
        <v>0</v>
      </c>
      <c r="I56" s="4">
        <f>Assumptions!$E$12</f>
        <v>0</v>
      </c>
      <c r="J56" s="4">
        <f>Assumptions!$E$12</f>
        <v>0</v>
      </c>
      <c r="K56" s="4">
        <f>Assumptions!$E$12</f>
        <v>0</v>
      </c>
      <c r="L56" s="4">
        <f>Assumptions!$E$12</f>
        <v>0</v>
      </c>
      <c r="M56" s="4">
        <f>Assumptions!$E$12</f>
        <v>0</v>
      </c>
      <c r="N56" s="4">
        <f>Assumptions!$E$12</f>
        <v>0</v>
      </c>
      <c r="O56" s="4">
        <f>Assumptions!$E$12</f>
        <v>0</v>
      </c>
      <c r="P56" s="4">
        <f>Assumptions!$E$12</f>
        <v>0</v>
      </c>
      <c r="Q56" s="4">
        <f>Assumptions!$E$12</f>
        <v>0</v>
      </c>
    </row>
    <row r="57" ht="18" customHeight="1">
      <c r="A57" s="0" t="inlineStr">
        <is>
          <t xml:space="preserve">Adherence</t>
        </is>
      </c>
      <c r="B57" s="0" t="inlineStr">
        <is>
          <t xml:space="preserve">%</t>
        </is>
      </c>
      <c r="C57" s="6">
        <f>Assumptions!$E$13</f>
        <v>0</v>
      </c>
      <c r="D57" s="6">
        <f>Assumptions!$E$13</f>
        <v>0</v>
      </c>
      <c r="E57" s="6">
        <f>Assumptions!$E$13</f>
        <v>0</v>
      </c>
      <c r="F57" s="6">
        <f>Assumptions!$E$13</f>
        <v>0</v>
      </c>
      <c r="G57" s="6">
        <f>Assumptions!$E$13</f>
        <v>0</v>
      </c>
      <c r="H57" s="6">
        <f>Assumptions!$E$13</f>
        <v>0</v>
      </c>
      <c r="I57" s="6">
        <f>Assumptions!$E$13</f>
        <v>0</v>
      </c>
      <c r="J57" s="6">
        <f>Assumptions!$E$13</f>
        <v>0</v>
      </c>
      <c r="K57" s="6">
        <f>Assumptions!$E$13</f>
        <v>0</v>
      </c>
      <c r="L57" s="6">
        <f>Assumptions!$E$13</f>
        <v>0</v>
      </c>
      <c r="M57" s="6">
        <f>Assumptions!$E$13</f>
        <v>0</v>
      </c>
      <c r="N57" s="6">
        <f>Assumptions!$E$13</f>
        <v>0</v>
      </c>
      <c r="O57" s="6">
        <f>Assumptions!$E$13</f>
        <v>0</v>
      </c>
      <c r="P57" s="6">
        <f>Assumptions!$E$13</f>
        <v>0</v>
      </c>
      <c r="Q57" s="6">
        <f>Assumptions!$E$13</f>
        <v>0</v>
      </c>
    </row>
    <row r="58" ht="18" customHeight="1">
      <c r="A58" s="0" t="inlineStr">
        <is>
          <t xml:space="preserve">Product volume</t>
        </is>
      </c>
      <c r="B58" s="0" t="inlineStr">
        <is>
          <t xml:space="preserve">doses</t>
        </is>
      </c>
      <c r="C58" s="4">
        <f>C57*C58*C59</f>
        <v>0</v>
      </c>
      <c r="D58" s="4">
        <f>D57*D58*D59</f>
        <v>0</v>
      </c>
      <c r="E58" s="4">
        <f>E57*E58*E59</f>
        <v>0</v>
      </c>
      <c r="F58" s="4">
        <f>F57*F58*F59</f>
        <v>0</v>
      </c>
      <c r="G58" s="4">
        <f>G57*G58*G59</f>
        <v>0</v>
      </c>
      <c r="H58" s="4">
        <f>H57*H58*H59</f>
        <v>0</v>
      </c>
      <c r="I58" s="4">
        <f>I57*I58*I59</f>
        <v>0</v>
      </c>
      <c r="J58" s="4">
        <f>J57*J58*J59</f>
        <v>0</v>
      </c>
      <c r="K58" s="4">
        <f>K57*K58*K59</f>
        <v>0</v>
      </c>
      <c r="L58" s="4">
        <f>L57*L58*L59</f>
        <v>0</v>
      </c>
      <c r="M58" s="4">
        <f>M57*M58*M59</f>
        <v>0</v>
      </c>
      <c r="N58" s="4">
        <f>N57*N58*N59</f>
        <v>0</v>
      </c>
      <c r="O58" s="4">
        <f>O57*O58*O59</f>
        <v>0</v>
      </c>
      <c r="P58" s="4">
        <f>P57*P58*P59</f>
        <v>0</v>
      </c>
      <c r="Q58" s="4">
        <f>Q57*Q58*Q59</f>
        <v>0</v>
      </c>
    </row>
    <row r="59" ht="18" customHeight="1">
      <c r="A59" s="0" t="inlineStr">
        <is>
          <t xml:space="preserve">List price per dose</t>
        </is>
      </c>
      <c r="B59" s="0" t="inlineStr">
        <is>
          <t xml:space="preserve">currency</t>
        </is>
      </c>
      <c r="C59" s="7">
        <f>Assumptions!$E$14*(1+Assumptions!$E$15)^0</f>
        <v>0</v>
      </c>
      <c r="D59" s="7">
        <f>Assumptions!$E$14*(1+Assumptions!$E$15)^1</f>
        <v>0</v>
      </c>
      <c r="E59" s="7">
        <f>Assumptions!$E$14*(1+Assumptions!$E$15)^2</f>
        <v>0</v>
      </c>
      <c r="F59" s="7">
        <f>Assumptions!$E$14*(1+Assumptions!$E$15)^3</f>
        <v>0</v>
      </c>
      <c r="G59" s="7">
        <f>Assumptions!$E$14*(1+Assumptions!$E$15)^4</f>
        <v>0</v>
      </c>
      <c r="H59" s="7">
        <f>Assumptions!$E$14*(1+Assumptions!$E$15)^5</f>
        <v>0</v>
      </c>
      <c r="I59" s="7">
        <f>Assumptions!$E$14*(1+Assumptions!$E$15)^6</f>
        <v>0</v>
      </c>
      <c r="J59" s="7">
        <f>Assumptions!$E$14*(1+Assumptions!$E$15)^7</f>
        <v>0</v>
      </c>
      <c r="K59" s="7">
        <f>Assumptions!$E$14*(1+Assumptions!$E$15)^8</f>
        <v>0</v>
      </c>
      <c r="L59" s="7">
        <f>Assumptions!$E$14*(1+Assumptions!$E$15)^9</f>
        <v>0</v>
      </c>
      <c r="M59" s="7">
        <f>Assumptions!$E$14*(1+Assumptions!$E$15)^10</f>
        <v>0</v>
      </c>
      <c r="N59" s="7">
        <f>Assumptions!$E$14*(1+Assumptions!$E$15)^11</f>
        <v>0</v>
      </c>
      <c r="O59" s="7">
        <f>Assumptions!$E$14*(1+Assumptions!$E$15)^12</f>
        <v>0</v>
      </c>
      <c r="P59" s="7">
        <f>Assumptions!$E$14*(1+Assumptions!$E$15)^13</f>
        <v>0</v>
      </c>
      <c r="Q59" s="7">
        <f>Assumptions!$E$14*(1+Assumptions!$E$15)^14</f>
        <v>0</v>
      </c>
    </row>
    <row r="60" ht="18" customHeight="1">
      <c r="A60" s="0" t="inlineStr">
        <is>
          <t xml:space="preserve">Gross revenue</t>
        </is>
      </c>
      <c r="B60" s="0" t="inlineStr">
        <is>
          <t xml:space="preserve">currency</t>
        </is>
      </c>
      <c r="C60" s="7">
        <f>C60*C61</f>
        <v>0</v>
      </c>
      <c r="D60" s="7">
        <f>D60*D61</f>
        <v>0</v>
      </c>
      <c r="E60" s="7">
        <f>E60*E61</f>
        <v>0</v>
      </c>
      <c r="F60" s="7">
        <f>F60*F61</f>
        <v>0</v>
      </c>
      <c r="G60" s="7">
        <f>G60*G61</f>
        <v>0</v>
      </c>
      <c r="H60" s="7">
        <f>H60*H61</f>
        <v>0</v>
      </c>
      <c r="I60" s="7">
        <f>I60*I61</f>
        <v>0</v>
      </c>
      <c r="J60" s="7">
        <f>J60*J61</f>
        <v>0</v>
      </c>
      <c r="K60" s="7">
        <f>K60*K61</f>
        <v>0</v>
      </c>
      <c r="L60" s="7">
        <f>L60*L61</f>
        <v>0</v>
      </c>
      <c r="M60" s="7">
        <f>M60*M61</f>
        <v>0</v>
      </c>
      <c r="N60" s="7">
        <f>N60*N61</f>
        <v>0</v>
      </c>
      <c r="O60" s="7">
        <f>O60*O61</f>
        <v>0</v>
      </c>
      <c r="P60" s="7">
        <f>P60*P61</f>
        <v>0</v>
      </c>
      <c r="Q60" s="7">
        <f>Q60*Q61</f>
        <v>0</v>
      </c>
    </row>
    <row r="61" ht="18" customHeight="1">
      <c r="A61" s="0" t="inlineStr">
        <is>
          <t xml:space="preserve">Gross-to-net discount</t>
        </is>
      </c>
      <c r="B61" s="0" t="inlineStr">
        <is>
          <t xml:space="preserve">%</t>
        </is>
      </c>
      <c r="C61" s="6">
        <f>Assumptions!$E$16</f>
        <v>0</v>
      </c>
      <c r="D61" s="6">
        <f>Assumptions!$E$16</f>
        <v>0</v>
      </c>
      <c r="E61" s="6">
        <f>Assumptions!$E$16</f>
        <v>0</v>
      </c>
      <c r="F61" s="6">
        <f>Assumptions!$E$16</f>
        <v>0</v>
      </c>
      <c r="G61" s="6">
        <f>Assumptions!$E$16</f>
        <v>0</v>
      </c>
      <c r="H61" s="6">
        <f>Assumptions!$E$16</f>
        <v>0</v>
      </c>
      <c r="I61" s="6">
        <f>Assumptions!$E$16</f>
        <v>0</v>
      </c>
      <c r="J61" s="6">
        <f>Assumptions!$E$16</f>
        <v>0</v>
      </c>
      <c r="K61" s="6">
        <f>Assumptions!$E$16</f>
        <v>0</v>
      </c>
      <c r="L61" s="6">
        <f>Assumptions!$E$16</f>
        <v>0</v>
      </c>
      <c r="M61" s="6">
        <f>Assumptions!$E$16</f>
        <v>0</v>
      </c>
      <c r="N61" s="6">
        <f>Assumptions!$E$16</f>
        <v>0</v>
      </c>
      <c r="O61" s="6">
        <f>Assumptions!$E$16</f>
        <v>0</v>
      </c>
      <c r="P61" s="6">
        <f>Assumptions!$E$16</f>
        <v>0</v>
      </c>
      <c r="Q61" s="6">
        <f>Assumptions!$E$16</f>
        <v>0</v>
      </c>
    </row>
    <row r="62" ht="18" customHeight="1">
      <c r="A62" s="0" t="inlineStr">
        <is>
          <t xml:space="preserve">Net revenue</t>
        </is>
      </c>
      <c r="B62" s="0" t="inlineStr">
        <is>
          <t xml:space="preserve">currency</t>
        </is>
      </c>
      <c r="C62" s="7">
        <f>C62*(1-C63)</f>
        <v>0</v>
      </c>
      <c r="D62" s="7">
        <f>D62*(1-D63)</f>
        <v>0</v>
      </c>
      <c r="E62" s="7">
        <f>E62*(1-E63)</f>
        <v>0</v>
      </c>
      <c r="F62" s="7">
        <f>F62*(1-F63)</f>
        <v>0</v>
      </c>
      <c r="G62" s="7">
        <f>G62*(1-G63)</f>
        <v>0</v>
      </c>
      <c r="H62" s="7">
        <f>H62*(1-H63)</f>
        <v>0</v>
      </c>
      <c r="I62" s="7">
        <f>I62*(1-I63)</f>
        <v>0</v>
      </c>
      <c r="J62" s="7">
        <f>J62*(1-J63)</f>
        <v>0</v>
      </c>
      <c r="K62" s="7">
        <f>K62*(1-K63)</f>
        <v>0</v>
      </c>
      <c r="L62" s="7">
        <f>L62*(1-L63)</f>
        <v>0</v>
      </c>
      <c r="M62" s="7">
        <f>M62*(1-M63)</f>
        <v>0</v>
      </c>
      <c r="N62" s="7">
        <f>N62*(1-N63)</f>
        <v>0</v>
      </c>
      <c r="O62" s="7">
        <f>O62*(1-O63)</f>
        <v>0</v>
      </c>
      <c r="P62" s="7">
        <f>P62*(1-P63)</f>
        <v>0</v>
      </c>
      <c r="Q62" s="7">
        <f>Q62*(1-Q63)</f>
        <v>0</v>
      </c>
    </row>
    <row r="63" ht="18" customHeight="1"/>
  </sheetData>
  <mergeCells count="3">
    <mergeCell ref="A1:Q1"/>
    <mergeCell ref="A23:Q23"/>
    <mergeCell ref="A45:Q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F16"/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20" customWidth="1"/>
  </cols>
  <sheetData>
    <row r="1" ht="22" customHeight="1">
      <c r="A1" s="1" t="inlineStr">
        <is>
          <t xml:space="preserve">Year</t>
        </is>
      </c>
      <c r="B1" s="1" t="inlineStr">
        <is>
          <t xml:space="preserve">Prevalent</t>
        </is>
      </c>
      <c r="C1" s="1" t="inlineStr">
        <is>
          <t xml:space="preserve">Diagnosed</t>
        </is>
      </c>
      <c r="D1" s="1" t="inlineStr">
        <is>
          <t xml:space="preserve">Treated</t>
        </is>
      </c>
      <c r="E1" s="1" t="inlineStr">
        <is>
          <t xml:space="preserve">Eligible</t>
        </is>
      </c>
      <c r="F1" s="1" t="inlineStr">
        <is>
          <t xml:space="preserve">Product Patients</t>
        </is>
      </c>
    </row>
    <row r="2" ht="18" customHeight="1">
      <c r="A2" s="0">
        <v>2026</v>
      </c>
      <c r="B2" s="4">
        <f>'Forecast Outputs'!C5</f>
        <v>0</v>
      </c>
      <c r="C2" s="4">
        <f>'Forecast Outputs'!C7</f>
        <v>0</v>
      </c>
      <c r="D2" s="4">
        <f>'Forecast Outputs'!C9</f>
        <v>0</v>
      </c>
      <c r="E2" s="4">
        <f>'Forecast Outputs'!C11</f>
        <v>0</v>
      </c>
      <c r="F2" s="4">
        <f>'Forecast Outputs'!C13</f>
        <v>0</v>
      </c>
    </row>
    <row r="3" ht="18" customHeight="1">
      <c r="A3" s="0">
        <v>2027</v>
      </c>
      <c r="B3" s="4">
        <f>'Forecast Outputs'!D5</f>
        <v>0</v>
      </c>
      <c r="C3" s="4">
        <f>'Forecast Outputs'!D7</f>
        <v>0</v>
      </c>
      <c r="D3" s="4">
        <f>'Forecast Outputs'!D9</f>
        <v>0</v>
      </c>
      <c r="E3" s="4">
        <f>'Forecast Outputs'!D11</f>
        <v>0</v>
      </c>
      <c r="F3" s="4">
        <f>'Forecast Outputs'!D13</f>
        <v>0</v>
      </c>
    </row>
    <row r="4" ht="18" customHeight="1">
      <c r="A4" s="0">
        <v>2028</v>
      </c>
      <c r="B4" s="4">
        <f>'Forecast Outputs'!E5</f>
        <v>0</v>
      </c>
      <c r="C4" s="4">
        <f>'Forecast Outputs'!E7</f>
        <v>0</v>
      </c>
      <c r="D4" s="4">
        <f>'Forecast Outputs'!E9</f>
        <v>0</v>
      </c>
      <c r="E4" s="4">
        <f>'Forecast Outputs'!E11</f>
        <v>0</v>
      </c>
      <c r="F4" s="4">
        <f>'Forecast Outputs'!E13</f>
        <v>0</v>
      </c>
    </row>
    <row r="5" ht="18" customHeight="1">
      <c r="A5" s="0">
        <v>2029</v>
      </c>
      <c r="B5" s="4">
        <f>'Forecast Outputs'!F5</f>
        <v>0</v>
      </c>
      <c r="C5" s="4">
        <f>'Forecast Outputs'!F7</f>
        <v>0</v>
      </c>
      <c r="D5" s="4">
        <f>'Forecast Outputs'!F9</f>
        <v>0</v>
      </c>
      <c r="E5" s="4">
        <f>'Forecast Outputs'!F11</f>
        <v>0</v>
      </c>
      <c r="F5" s="4">
        <f>'Forecast Outputs'!F13</f>
        <v>0</v>
      </c>
    </row>
    <row r="6" ht="18" customHeight="1">
      <c r="A6" s="0">
        <v>2030</v>
      </c>
      <c r="B6" s="4">
        <f>'Forecast Outputs'!G5</f>
        <v>0</v>
      </c>
      <c r="C6" s="4">
        <f>'Forecast Outputs'!G7</f>
        <v>0</v>
      </c>
      <c r="D6" s="4">
        <f>'Forecast Outputs'!G9</f>
        <v>0</v>
      </c>
      <c r="E6" s="4">
        <f>'Forecast Outputs'!G11</f>
        <v>0</v>
      </c>
      <c r="F6" s="4">
        <f>'Forecast Outputs'!G13</f>
        <v>0</v>
      </c>
    </row>
    <row r="7" ht="18" customHeight="1">
      <c r="A7" s="0">
        <v>2031</v>
      </c>
      <c r="B7" s="4">
        <f>'Forecast Outputs'!H5</f>
        <v>0</v>
      </c>
      <c r="C7" s="4">
        <f>'Forecast Outputs'!H7</f>
        <v>0</v>
      </c>
      <c r="D7" s="4">
        <f>'Forecast Outputs'!H9</f>
        <v>0</v>
      </c>
      <c r="E7" s="4">
        <f>'Forecast Outputs'!H11</f>
        <v>0</v>
      </c>
      <c r="F7" s="4">
        <f>'Forecast Outputs'!H13</f>
        <v>0</v>
      </c>
    </row>
    <row r="8" ht="18" customHeight="1">
      <c r="A8" s="0">
        <v>2032</v>
      </c>
      <c r="B8" s="4">
        <f>'Forecast Outputs'!I5</f>
        <v>0</v>
      </c>
      <c r="C8" s="4">
        <f>'Forecast Outputs'!I7</f>
        <v>0</v>
      </c>
      <c r="D8" s="4">
        <f>'Forecast Outputs'!I9</f>
        <v>0</v>
      </c>
      <c r="E8" s="4">
        <f>'Forecast Outputs'!I11</f>
        <v>0</v>
      </c>
      <c r="F8" s="4">
        <f>'Forecast Outputs'!I13</f>
        <v>0</v>
      </c>
    </row>
    <row r="9" ht="18" customHeight="1">
      <c r="A9" s="0">
        <v>2033</v>
      </c>
      <c r="B9" s="4">
        <f>'Forecast Outputs'!J5</f>
        <v>0</v>
      </c>
      <c r="C9" s="4">
        <f>'Forecast Outputs'!J7</f>
        <v>0</v>
      </c>
      <c r="D9" s="4">
        <f>'Forecast Outputs'!J9</f>
        <v>0</v>
      </c>
      <c r="E9" s="4">
        <f>'Forecast Outputs'!J11</f>
        <v>0</v>
      </c>
      <c r="F9" s="4">
        <f>'Forecast Outputs'!J13</f>
        <v>0</v>
      </c>
    </row>
    <row r="10" ht="18" customHeight="1">
      <c r="A10" s="0">
        <v>2034</v>
      </c>
      <c r="B10" s="4">
        <f>'Forecast Outputs'!K5</f>
        <v>0</v>
      </c>
      <c r="C10" s="4">
        <f>'Forecast Outputs'!K7</f>
        <v>0</v>
      </c>
      <c r="D10" s="4">
        <f>'Forecast Outputs'!K9</f>
        <v>0</v>
      </c>
      <c r="E10" s="4">
        <f>'Forecast Outputs'!K11</f>
        <v>0</v>
      </c>
      <c r="F10" s="4">
        <f>'Forecast Outputs'!K13</f>
        <v>0</v>
      </c>
    </row>
    <row r="11" ht="18" customHeight="1">
      <c r="A11" s="0">
        <v>2035</v>
      </c>
      <c r="B11" s="4">
        <f>'Forecast Outputs'!L5</f>
        <v>0</v>
      </c>
      <c r="C11" s="4">
        <f>'Forecast Outputs'!L7</f>
        <v>0</v>
      </c>
      <c r="D11" s="4">
        <f>'Forecast Outputs'!L9</f>
        <v>0</v>
      </c>
      <c r="E11" s="4">
        <f>'Forecast Outputs'!L11</f>
        <v>0</v>
      </c>
      <c r="F11" s="4">
        <f>'Forecast Outputs'!L13</f>
        <v>0</v>
      </c>
    </row>
    <row r="12" ht="18" customHeight="1">
      <c r="A12" s="0">
        <v>2036</v>
      </c>
      <c r="B12" s="4">
        <f>'Forecast Outputs'!M5</f>
        <v>0</v>
      </c>
      <c r="C12" s="4">
        <f>'Forecast Outputs'!M7</f>
        <v>0</v>
      </c>
      <c r="D12" s="4">
        <f>'Forecast Outputs'!M9</f>
        <v>0</v>
      </c>
      <c r="E12" s="4">
        <f>'Forecast Outputs'!M11</f>
        <v>0</v>
      </c>
      <c r="F12" s="4">
        <f>'Forecast Outputs'!M13</f>
        <v>0</v>
      </c>
    </row>
    <row r="13" ht="18" customHeight="1">
      <c r="A13" s="0">
        <v>2037</v>
      </c>
      <c r="B13" s="4">
        <f>'Forecast Outputs'!N5</f>
        <v>0</v>
      </c>
      <c r="C13" s="4">
        <f>'Forecast Outputs'!N7</f>
        <v>0</v>
      </c>
      <c r="D13" s="4">
        <f>'Forecast Outputs'!N9</f>
        <v>0</v>
      </c>
      <c r="E13" s="4">
        <f>'Forecast Outputs'!N11</f>
        <v>0</v>
      </c>
      <c r="F13" s="4">
        <f>'Forecast Outputs'!N13</f>
        <v>0</v>
      </c>
    </row>
    <row r="14" ht="18" customHeight="1">
      <c r="A14" s="0">
        <v>2038</v>
      </c>
      <c r="B14" s="4">
        <f>'Forecast Outputs'!O5</f>
        <v>0</v>
      </c>
      <c r="C14" s="4">
        <f>'Forecast Outputs'!O7</f>
        <v>0</v>
      </c>
      <c r="D14" s="4">
        <f>'Forecast Outputs'!O9</f>
        <v>0</v>
      </c>
      <c r="E14" s="4">
        <f>'Forecast Outputs'!O11</f>
        <v>0</v>
      </c>
      <c r="F14" s="4">
        <f>'Forecast Outputs'!O13</f>
        <v>0</v>
      </c>
    </row>
    <row r="15" ht="18" customHeight="1">
      <c r="A15" s="0">
        <v>2039</v>
      </c>
      <c r="B15" s="4">
        <f>'Forecast Outputs'!P5</f>
        <v>0</v>
      </c>
      <c r="C15" s="4">
        <f>'Forecast Outputs'!P7</f>
        <v>0</v>
      </c>
      <c r="D15" s="4">
        <f>'Forecast Outputs'!P9</f>
        <v>0</v>
      </c>
      <c r="E15" s="4">
        <f>'Forecast Outputs'!P11</f>
        <v>0</v>
      </c>
      <c r="F15" s="4">
        <f>'Forecast Outputs'!P13</f>
        <v>0</v>
      </c>
    </row>
    <row r="16" ht="18" customHeight="1">
      <c r="A16" s="0">
        <v>2040</v>
      </c>
      <c r="B16" s="4">
        <f>'Forecast Outputs'!Q5</f>
        <v>0</v>
      </c>
      <c r="C16" s="4">
        <f>'Forecast Outputs'!Q7</f>
        <v>0</v>
      </c>
      <c r="D16" s="4">
        <f>'Forecast Outputs'!Q9</f>
        <v>0</v>
      </c>
      <c r="E16" s="4">
        <f>'Forecast Outputs'!Q11</f>
        <v>0</v>
      </c>
      <c r="F16" s="4">
        <f>'Forecast Outputs'!Q13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C7"/>
  <cols>
    <col min="1" max="1" width="14" customWidth="1"/>
    <col min="2" max="2" width="34" customWidth="1"/>
    <col min="3" max="3" width="92" customWidth="1"/>
  </cols>
  <sheetData>
    <row r="1" ht="22" customHeight="1">
      <c r="A1" s="1" t="inlineStr">
        <is>
          <t xml:space="preserve">Status</t>
        </is>
      </c>
      <c r="B1" s="1" t="inlineStr">
        <is>
          <t xml:space="preserve">Check</t>
        </is>
      </c>
      <c r="C1" s="1" t="inlineStr">
        <is>
          <t xml:space="preserve">Detail</t>
        </is>
      </c>
    </row>
    <row r="2" ht="18" customHeight="1">
      <c r="A2" s="8" t="inlineStr">
        <is>
          <t xml:space="preserve">Passed</t>
        </is>
      </c>
      <c r="B2" s="0" t="inlineStr">
        <is>
          <t xml:space="preserve">Model information</t>
        </is>
      </c>
      <c r="C2" s="0" t="inlineStr">
        <is>
          <t xml:space="preserve">Atopic Dermatitis - Product X · United States · 2026-2040</t>
        </is>
      </c>
    </row>
    <row r="3" ht="18" customHeight="1">
      <c r="A3" s="8" t="inlineStr">
        <is>
          <t xml:space="preserve">Passed</t>
        </is>
      </c>
      <c r="B3" s="0" t="inlineStr">
        <is>
          <t xml:space="preserve">Patient-pool configuration</t>
        </is>
      </c>
      <c r="C3" s="0" t="inlineStr">
        <is>
          <t xml:space="preserve">Prevalence Pool · Prevalence</t>
        </is>
      </c>
    </row>
    <row r="4" ht="18" customHeight="1">
      <c r="A4" s="9" t="inlineStr">
        <is>
          <t xml:space="preserve">Review</t>
        </is>
      </c>
      <c r="B4" s="0" t="inlineStr">
        <is>
          <t xml:space="preserve">Assumption evidence</t>
        </is>
      </c>
      <c r="C4" s="0" t="inlineStr">
        <is>
          <t xml:space="preserve">Replace illustrative assumption defaults with source-linked approved inputs</t>
        </is>
      </c>
    </row>
    <row r="5" ht="18" customHeight="1">
      <c r="A5" s="9" t="inlineStr">
        <is>
          <t xml:space="preserve">Review</t>
        </is>
      </c>
      <c r="B5" s="0" t="inlineStr">
        <is>
          <t xml:space="preserve">Scenario assumptions</t>
        </is>
      </c>
      <c r="C5" s="0" t="inlineStr">
        <is>
          <t xml:space="preserve">Strong and Weak defaults are illustrative starting points</t>
        </is>
      </c>
    </row>
    <row r="6" ht="18" customHeight="1">
      <c r="A6" s="8" t="inlineStr">
        <is>
          <t xml:space="preserve">Passed</t>
        </is>
      </c>
      <c r="B6" s="0" t="inlineStr">
        <is>
          <t xml:space="preserve">Formula scaffold</t>
        </is>
      </c>
      <c r="C6" s="0" t="inlineStr">
        <is>
          <t xml:space="preserve">Patient-to-volume-to-revenue formulas included</t>
        </is>
      </c>
    </row>
    <row r="7" ht="18" customHeight="1">
      <c r="A7" s="8" t="inlineStr">
        <is>
          <t xml:space="preserve">Passed</t>
        </is>
      </c>
      <c r="B7" s="0" t="inlineStr">
        <is>
          <t xml:space="preserve">Base protection</t>
        </is>
      </c>
      <c r="C7" s="0" t="inlineStr">
        <is>
          <t xml:space="preserve">Scenario sheets are separate and do not overwrite approved inputs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Foresight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Information</vt:lpstr>
      <vt:lpstr>Model Architecture</vt:lpstr>
      <vt:lpstr>Input Register</vt:lpstr>
      <vt:lpstr>Assumptions</vt:lpstr>
      <vt:lpstr>Forecast Outputs</vt:lpstr>
      <vt:lpstr>Patient Potential Tower</vt:lpstr>
      <vt:lpstr>Validation</vt:lpstr>
    </vt:vector>
  </TitlesOfParts>
  <Company>phamax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Foresight Generated Forecast Model</dc:title>
  <dc:creator>Foresight</dc:creator>
  <cp:lastModifiedBy>Foresight</cp:lastModifiedBy>
  <dcterms:created xsi:type="dcterms:W3CDTF">2026-07-24T08:06:49.350Z</dcterms:created>
  <dcterms:modified xsi:type="dcterms:W3CDTF">2026-07-24T08:06:49.350Z</dcterms:modified>
</cp:coreProperties>
</file>