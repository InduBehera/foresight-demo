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8000"/>
  </bookViews>
  <sheets>
    <sheet name="Model Setup" sheetId="1" r:id="rId1"/>
    <sheet name="Market Inputs" sheetId="2" r:id="rId2"/>
    <sheet name="Forecast Outputs" sheetId="3" r:id="rId3"/>
    <sheet name="SKU Structure" sheetId="4" r:id="rId4"/>
    <sheet name="Validation" sheetId="5" r:id="rId5"/>
  </sheets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#,##0;[Red](#,##0);-"/>
    <numFmt numFmtId="165" formatCode="0.0%;[Red](0.0%);-"/>
    <numFmt numFmtId="166" formatCode="$#,##0;[Red]($#,##0);-"/>
    <numFmt numFmtId="167" formatCode="0.00"/>
  </numFmts>
  <fonts count="6">
    <font>
      <sz val="10"/>
      <name val="Aptos"/>
    </font>
    <font>
      <b/>
      <color rgb="FFFFFFFF"/>
      <sz val="10"/>
      <name val="Aptos"/>
    </font>
    <font>
      <b/>
      <color rgb="FFFFFFFF"/>
      <sz val="10"/>
      <name val="Aptos"/>
    </font>
    <font>
      <color rgb="FF0000FF"/>
      <sz val="10"/>
      <name val="Aptos"/>
    </font>
    <font>
      <color rgb="FF008000"/>
      <sz val="10"/>
      <name val="Aptos"/>
    </font>
    <font>
      <color rgb="FF666666"/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C8102E"/>
        <bgColor indexed="64"/>
      </patternFill>
    </fill>
    <fill>
      <patternFill patternType="solid">
        <fgColor rgb="FF17191D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CFDF3"/>
        <bgColor indexed="64"/>
      </patternFill>
    </fill>
    <fill>
      <patternFill patternType="solid">
        <fgColor rgb="FFFFF4E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5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4" borderId="1" xfId="0" applyFont="1" applyFill="1"/>
    <xf numFmtId="164" fontId="0" fillId="0" borderId="0" xfId="0" applyNumberFormat="1"/>
    <xf numFmtId="165" fontId="3" fillId="4" borderId="1" xfId="0" applyFont="1" applyFill="1" applyNumberFormat="1"/>
    <xf numFmtId="165" fontId="0" fillId="0" borderId="0" xfId="0" applyNumberFormat="1"/>
    <xf numFmtId="166" fontId="0" fillId="0" borderId="0" xfId="0" applyNumberFormat="1"/>
    <xf numFmtId="0" fontId="4" fillId="5" borderId="1" xfId="0" applyFont="1" applyFill="1"/>
    <xf numFmtId="0" fontId="5" fillId="0" borderId="0" xfId="0" applyFont="1"/>
    <xf numFmtId="166" fontId="3" fillId="4" borderId="1" xfId="0" applyFont="1" applyFill="1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dimension ref="A1:B17"/>
  <cols>
    <col min="1" max="1" width="32" customWidth="1"/>
    <col min="2" max="2" width="80" customWidth="1"/>
  </cols>
  <sheetData>
    <row r="1" ht="22" customHeight="1">
      <c r="A1" s="2" t="inlineStr">
        <is>
          <t xml:space="preserve">Foresight Generated Market Model</t>
        </is>
      </c>
    </row>
    <row r="2" ht="18" customHeight="1"/>
    <row r="3" ht="18" customHeight="1">
      <c r="A3" s="1" t="inlineStr">
        <is>
          <t xml:space="preserve">Field</t>
        </is>
      </c>
      <c r="B3" s="1" t="inlineStr">
        <is>
          <t xml:space="preserve">Value</t>
        </is>
      </c>
    </row>
    <row r="4" ht="18" customHeight="1">
      <c r="A4" s="0" t="inlineStr">
        <is>
          <t xml:space="preserve">Forecast name</t>
        </is>
      </c>
      <c r="B4" s="0" t="inlineStr">
        <is>
          <t xml:space="preserve">Hemaris Switzerland Forecast</t>
        </is>
      </c>
    </row>
    <row r="5" ht="18" customHeight="1">
      <c r="A5" s="0" t="inlineStr">
        <is>
          <t xml:space="preserve">Product</t>
        </is>
      </c>
      <c r="B5" s="0" t="inlineStr">
        <is>
          <t xml:space="preserve">Hemaris</t>
        </is>
      </c>
    </row>
    <row r="6" ht="18" customHeight="1">
      <c r="A6" s="0" t="inlineStr">
        <is>
          <t xml:space="preserve">Country</t>
        </is>
      </c>
      <c r="B6" s="0" t="inlineStr">
        <is>
          <t xml:space="preserve">Switzerland</t>
        </is>
      </c>
    </row>
    <row r="7" ht="18" customHeight="1">
      <c r="A7" s="0" t="inlineStr">
        <is>
          <t xml:space="preserve">Currency</t>
        </is>
      </c>
      <c r="B7" s="0" t="inlineStr">
        <is>
          <t xml:space="preserve">CHF</t>
        </is>
      </c>
    </row>
    <row r="8" ht="18" customHeight="1">
      <c r="A8" s="0" t="inlineStr">
        <is>
          <t xml:space="preserve">Forecast period</t>
        </is>
      </c>
      <c r="B8" s="0" t="inlineStr">
        <is>
          <t xml:space="preserve">2022-2031</t>
        </is>
      </c>
    </row>
    <row r="9" ht="18" customHeight="1">
      <c r="A9" s="0" t="inlineStr">
        <is>
          <t xml:space="preserve">External market source</t>
        </is>
      </c>
      <c r="B9" s="0" t="inlineStr">
        <is>
          <t xml:space="preserve">Client-owned syndicated market data</t>
        </is>
      </c>
    </row>
    <row r="10" ht="18" customHeight="1">
      <c r="A10" s="0" t="inlineStr">
        <is>
          <t xml:space="preserve">Internal sales source</t>
        </is>
      </c>
      <c r="B10" s="0" t="inlineStr">
        <is>
          <t xml:space="preserve">Internal sales data</t>
        </is>
      </c>
    </row>
    <row r="11" ht="18" customHeight="1">
      <c r="A11" s="0" t="inlineStr">
        <is>
          <t xml:space="preserve">Granularity</t>
        </is>
      </c>
      <c r="B11" s="0" t="inlineStr">
        <is>
          <t xml:space="preserve">SKU / strength / pack</t>
        </is>
      </c>
    </row>
    <row r="12" ht="18" customHeight="1">
      <c r="A12" s="0" t="inlineStr">
        <is>
          <t xml:space="preserve">Forecast method</t>
        </is>
      </c>
      <c r="B12" s="0" t="inlineStr">
        <is>
          <t xml:space="preserve">Historical trend + events</t>
        </is>
      </c>
    </row>
    <row r="13" ht="18" customHeight="1">
      <c r="A13" s="0" t="inlineStr">
        <is>
          <t xml:space="preserve">Products</t>
        </is>
      </c>
      <c r="B13" s="0">
        <v>3</v>
      </c>
    </row>
    <row r="14" ht="18" customHeight="1">
      <c r="A14" s="0" t="inlineStr">
        <is>
          <t xml:space="preserve">Competitors</t>
        </is>
      </c>
      <c r="B14" s="0">
        <v>4</v>
      </c>
    </row>
    <row r="15" ht="18" customHeight="1">
      <c r="A15" s="0" t="inlineStr">
        <is>
          <t xml:space="preserve">SKUs</t>
        </is>
      </c>
      <c r="B15" s="0">
        <v>5</v>
      </c>
    </row>
    <row r="16" ht="18" customHeight="1">
      <c r="A16" s="0" t="inlineStr">
        <is>
          <t xml:space="preserve">Output</t>
        </is>
      </c>
      <c r="B16" s="0" t="inlineStr">
        <is>
          <t xml:space="preserve">Baseline vs Event-adjusted</t>
        </is>
      </c>
    </row>
    <row r="17" ht="18" customHeight="1">
      <c r="A17" s="0" t="inlineStr">
        <is>
          <t xml:space="preserve">Generated</t>
        </is>
      </c>
      <c r="B17" s="0" t="inlineStr">
        <is>
          <t xml:space="preserve">2026-07-24T08:08:16.130Z</t>
        </is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dimension ref="A1:L11"/>
  <cols>
    <col min="1" max="1" width="30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</cols>
  <sheetData>
    <row r="1" ht="22" customHeight="1">
      <c r="A1" s="1" t="inlineStr">
        <is>
          <t xml:space="preserve">Metric</t>
        </is>
      </c>
      <c r="B1" s="1" t="inlineStr">
        <is>
          <t xml:space="preserve">Unit</t>
        </is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</row>
    <row r="2" ht="18" customHeight="1">
      <c r="A2" s="0" t="inlineStr">
        <is>
          <t xml:space="preserve">Baseline market volume</t>
        </is>
      </c>
      <c r="B2" s="0" t="inlineStr">
        <is>
          <t xml:space="preserve">units</t>
        </is>
      </c>
      <c r="C2" s="3">
        <v>1000000</v>
      </c>
      <c r="D2" s="3" t="inlineStr">
        <is>
          <t xml:space="preserve"/>
        </is>
      </c>
      <c r="E2" s="3" t="inlineStr">
        <is>
          <t xml:space="preserve"/>
        </is>
      </c>
      <c r="F2" s="3" t="inlineStr">
        <is>
          <t xml:space="preserve"/>
        </is>
      </c>
      <c r="G2" s="3" t="inlineStr">
        <is>
          <t xml:space="preserve"/>
        </is>
      </c>
      <c r="H2" s="3" t="inlineStr">
        <is>
          <t xml:space="preserve"/>
        </is>
      </c>
      <c r="I2" s="3" t="inlineStr">
        <is>
          <t xml:space="preserve"/>
        </is>
      </c>
      <c r="J2" s="3" t="inlineStr">
        <is>
          <t xml:space="preserve"/>
        </is>
      </c>
      <c r="K2" s="3" t="inlineStr">
        <is>
          <t xml:space="preserve"/>
        </is>
      </c>
      <c r="L2" s="3" t="inlineStr">
        <is>
          <t xml:space="preserve"/>
        </is>
      </c>
    </row>
    <row r="3" ht="18" customHeight="1">
      <c r="A3" s="0" t="inlineStr">
        <is>
          <t xml:space="preserve">Annual market growth</t>
        </is>
      </c>
      <c r="B3" s="0" t="inlineStr">
        <is>
          <t xml:space="preserve">%</t>
        </is>
      </c>
      <c r="C3" s="5">
        <v>-0.02</v>
      </c>
      <c r="D3" s="5">
        <v>-0.02</v>
      </c>
      <c r="E3" s="5">
        <v>-0.02</v>
      </c>
      <c r="F3" s="5">
        <v>-0.02</v>
      </c>
      <c r="G3" s="5">
        <v>-0.02</v>
      </c>
      <c r="H3" s="5">
        <v>-0.02</v>
      </c>
      <c r="I3" s="5">
        <v>-0.02</v>
      </c>
      <c r="J3" s="5">
        <v>-0.02</v>
      </c>
      <c r="K3" s="5">
        <v>-0.02</v>
      </c>
      <c r="L3" s="5">
        <v>-0.02</v>
      </c>
    </row>
    <row r="4" ht="18" customHeight="1">
      <c r="A4" s="0" t="inlineStr">
        <is>
          <t xml:space="preserve">Product share</t>
        </is>
      </c>
      <c r="B4" s="0" t="inlineStr">
        <is>
          <t xml:space="preserve">%</t>
        </is>
      </c>
      <c r="C4" s="5">
        <v>0.2</v>
      </c>
      <c r="D4" s="5">
        <v>0.2</v>
      </c>
      <c r="E4" s="5">
        <v>0.2</v>
      </c>
      <c r="F4" s="5">
        <v>0.2</v>
      </c>
      <c r="G4" s="5">
        <v>0.2</v>
      </c>
      <c r="H4" s="5">
        <v>0.2</v>
      </c>
      <c r="I4" s="5">
        <v>0.2</v>
      </c>
      <c r="J4" s="5">
        <v>0.2</v>
      </c>
      <c r="K4" s="5">
        <v>0.2</v>
      </c>
      <c r="L4" s="5">
        <v>0.2</v>
      </c>
    </row>
    <row r="5" ht="18" customHeight="1">
      <c r="A5" s="0" t="inlineStr">
        <is>
          <t xml:space="preserve">Price per unit</t>
        </is>
      </c>
      <c r="B5" s="0" t="inlineStr">
        <is>
          <t xml:space="preserve">CHF</t>
        </is>
      </c>
      <c r="C5" s="10">
        <v>1</v>
      </c>
      <c r="D5" s="10">
        <v>1</v>
      </c>
      <c r="E5" s="10">
        <v>1</v>
      </c>
      <c r="F5" s="10">
        <v>1</v>
      </c>
      <c r="G5" s="10">
        <v>1</v>
      </c>
      <c r="H5" s="10">
        <v>1</v>
      </c>
      <c r="I5" s="10">
        <v>1</v>
      </c>
      <c r="J5" s="10">
        <v>1</v>
      </c>
      <c r="K5" s="10">
        <v>1</v>
      </c>
      <c r="L5" s="10">
        <v>1</v>
      </c>
    </row>
    <row r="6" ht="18" customHeight="1">
      <c r="A6" s="0" t="inlineStr">
        <is>
          <t xml:space="preserve">Volume event impact</t>
        </is>
      </c>
      <c r="B6" s="0" t="inlineStr">
        <is>
          <t xml:space="preserve">%</t>
        </is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</row>
    <row r="7" ht="18" customHeight="1">
      <c r="A7" s="0" t="inlineStr">
        <is>
          <t xml:space="preserve">Price event impact</t>
        </is>
      </c>
      <c r="B7" s="0" t="inlineStr">
        <is>
          <t xml:space="preserve">%</t>
        </is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</row>
    <row r="8" ht="18" customHeight="1">
      <c r="A8" s="0" t="inlineStr">
        <is>
          <t xml:space="preserve">Event probability</t>
        </is>
      </c>
      <c r="B8" s="0" t="inlineStr">
        <is>
          <t xml:space="preserve">%</t>
        </is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</row>
    <row r="9" ht="18" customHeight="1">
      <c r="A9" s="0" t="inlineStr">
        <is>
          <t xml:space="preserve">COGS per unit</t>
        </is>
      </c>
      <c r="B9" s="0" t="inlineStr">
        <is>
          <t xml:space="preserve">CHF</t>
        </is>
      </c>
      <c r="C9" s="10">
        <v>0.35</v>
      </c>
      <c r="D9" s="10">
        <v>0.35</v>
      </c>
      <c r="E9" s="10">
        <v>0.35</v>
      </c>
      <c r="F9" s="10">
        <v>0.35</v>
      </c>
      <c r="G9" s="10">
        <v>0.35</v>
      </c>
      <c r="H9" s="10">
        <v>0.35</v>
      </c>
      <c r="I9" s="10">
        <v>0.35</v>
      </c>
      <c r="J9" s="10">
        <v>0.35</v>
      </c>
      <c r="K9" s="10">
        <v>0.35</v>
      </c>
      <c r="L9" s="10">
        <v>0.35</v>
      </c>
    </row>
    <row r="10" ht="18" customHeight="1">
      <c r="A10" s="0" t="inlineStr">
        <is>
          <t xml:space="preserve">Service fee</t>
        </is>
      </c>
      <c r="B10" s="0" t="inlineStr">
        <is>
          <t xml:space="preserve">%</t>
        </is>
      </c>
      <c r="C10" s="5">
        <v>0.025</v>
      </c>
      <c r="D10" s="5">
        <v>0.025</v>
      </c>
      <c r="E10" s="5">
        <v>0.025</v>
      </c>
      <c r="F10" s="5">
        <v>0.025</v>
      </c>
      <c r="G10" s="5">
        <v>0.025</v>
      </c>
      <c r="H10" s="5">
        <v>0.025</v>
      </c>
      <c r="I10" s="5">
        <v>0.025</v>
      </c>
      <c r="J10" s="5">
        <v>0.025</v>
      </c>
      <c r="K10" s="5">
        <v>0.025</v>
      </c>
      <c r="L10" s="5">
        <v>0.025</v>
      </c>
    </row>
    <row r="11" ht="18" customHeight="1">
      <c r="A11" s="0" t="inlineStr">
        <is>
          <t xml:space="preserve">Supply fee</t>
        </is>
      </c>
      <c r="B11" s="0" t="inlineStr">
        <is>
          <t xml:space="preserve">%</t>
        </is>
      </c>
      <c r="C11" s="5">
        <v>0.05</v>
      </c>
      <c r="D11" s="5">
        <v>0.05</v>
      </c>
      <c r="E11" s="5">
        <v>0.05</v>
      </c>
      <c r="F11" s="5">
        <v>0.05</v>
      </c>
      <c r="G11" s="5">
        <v>0.05</v>
      </c>
      <c r="H11" s="5">
        <v>0.05</v>
      </c>
      <c r="I11" s="5">
        <v>0.05</v>
      </c>
      <c r="J11" s="5">
        <v>0.05</v>
      </c>
      <c r="K11" s="5">
        <v>0.05</v>
      </c>
      <c r="L11" s="5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dimension ref="A1:L7"/>
  <cols>
    <col min="1" max="1" width="30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</cols>
  <sheetData>
    <row r="1" ht="22" customHeight="1">
      <c r="A1" s="1" t="inlineStr">
        <is>
          <t xml:space="preserve">Metric</t>
        </is>
      </c>
      <c r="B1" s="1" t="inlineStr">
        <is>
          <t xml:space="preserve">Unit</t>
        </is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</row>
    <row r="2" ht="18" customHeight="1">
      <c r="A2" s="0" t="inlineStr">
        <is>
          <t xml:space="preserve">Baseline product volume</t>
        </is>
      </c>
      <c r="B2" s="0" t="inlineStr">
        <is>
          <t xml:space="preserve">units</t>
        </is>
      </c>
      <c r="C2" s="4">
        <f>'Market Inputs'!C2*'Market Inputs'!C4</f>
        <v>0</v>
      </c>
      <c r="D2" s="4">
        <f>C2*(1+'Market Inputs'!D3)</f>
        <v>0</v>
      </c>
      <c r="E2" s="4">
        <f>D2*(1+'Market Inputs'!E3)</f>
        <v>0</v>
      </c>
      <c r="F2" s="4">
        <f>E2*(1+'Market Inputs'!F3)</f>
        <v>0</v>
      </c>
      <c r="G2" s="4">
        <f>F2*(1+'Market Inputs'!G3)</f>
        <v>0</v>
      </c>
      <c r="H2" s="4">
        <f>G2*(1+'Market Inputs'!H3)</f>
        <v>0</v>
      </c>
      <c r="I2" s="4">
        <f>H2*(1+'Market Inputs'!I3)</f>
        <v>0</v>
      </c>
      <c r="J2" s="4">
        <f>I2*(1+'Market Inputs'!J3)</f>
        <v>0</v>
      </c>
      <c r="K2" s="4">
        <f>J2*(1+'Market Inputs'!K3)</f>
        <v>0</v>
      </c>
      <c r="L2" s="4">
        <f>K2*(1+'Market Inputs'!L3)</f>
        <v>0</v>
      </c>
    </row>
    <row r="3" ht="18" customHeight="1">
      <c r="A3" s="0" t="inlineStr">
        <is>
          <t xml:space="preserve">Event-adjusted volume</t>
        </is>
      </c>
      <c r="B3" s="0" t="inlineStr">
        <is>
          <t xml:space="preserve">units</t>
        </is>
      </c>
      <c r="C3" s="4">
        <f>C2*(1+'Market Inputs'!C6*'Market Inputs'!C8)</f>
        <v>0</v>
      </c>
      <c r="D3" s="4">
        <f>D2*(1+'Market Inputs'!D6*'Market Inputs'!D8)</f>
        <v>0</v>
      </c>
      <c r="E3" s="4">
        <f>E2*(1+'Market Inputs'!E6*'Market Inputs'!E8)</f>
        <v>0</v>
      </c>
      <c r="F3" s="4">
        <f>F2*(1+'Market Inputs'!F6*'Market Inputs'!F8)</f>
        <v>0</v>
      </c>
      <c r="G3" s="4">
        <f>G2*(1+'Market Inputs'!G6*'Market Inputs'!G8)</f>
        <v>0</v>
      </c>
      <c r="H3" s="4">
        <f>H2*(1+'Market Inputs'!H6*'Market Inputs'!H8)</f>
        <v>0</v>
      </c>
      <c r="I3" s="4">
        <f>I2*(1+'Market Inputs'!I6*'Market Inputs'!I8)</f>
        <v>0</v>
      </c>
      <c r="J3" s="4">
        <f>J2*(1+'Market Inputs'!J6*'Market Inputs'!J8)</f>
        <v>0</v>
      </c>
      <c r="K3" s="4">
        <f>K2*(1+'Market Inputs'!K6*'Market Inputs'!K8)</f>
        <v>0</v>
      </c>
      <c r="L3" s="4">
        <f>L2*(1+'Market Inputs'!L6*'Market Inputs'!L8)</f>
        <v>0</v>
      </c>
    </row>
    <row r="4" ht="18" customHeight="1">
      <c r="A4" s="0" t="inlineStr">
        <is>
          <t xml:space="preserve">Baseline revenue</t>
        </is>
      </c>
      <c r="B4" s="0" t="inlineStr">
        <is>
          <t xml:space="preserve">CHF</t>
        </is>
      </c>
      <c r="C4" s="7">
        <f>C2*'Market Inputs'!C5</f>
        <v>0</v>
      </c>
      <c r="D4" s="7">
        <f>D2*'Market Inputs'!D5</f>
        <v>0</v>
      </c>
      <c r="E4" s="7">
        <f>E2*'Market Inputs'!E5</f>
        <v>0</v>
      </c>
      <c r="F4" s="7">
        <f>F2*'Market Inputs'!F5</f>
        <v>0</v>
      </c>
      <c r="G4" s="7">
        <f>G2*'Market Inputs'!G5</f>
        <v>0</v>
      </c>
      <c r="H4" s="7">
        <f>H2*'Market Inputs'!H5</f>
        <v>0</v>
      </c>
      <c r="I4" s="7">
        <f>I2*'Market Inputs'!I5</f>
        <v>0</v>
      </c>
      <c r="J4" s="7">
        <f>J2*'Market Inputs'!J5</f>
        <v>0</v>
      </c>
      <c r="K4" s="7">
        <f>K2*'Market Inputs'!K5</f>
        <v>0</v>
      </c>
      <c r="L4" s="7">
        <f>L2*'Market Inputs'!L5</f>
        <v>0</v>
      </c>
    </row>
    <row r="5" ht="18" customHeight="1">
      <c r="A5" s="0" t="inlineStr">
        <is>
          <t xml:space="preserve">Event-adjusted revenue</t>
        </is>
      </c>
      <c r="B5" s="0" t="inlineStr">
        <is>
          <t xml:space="preserve">CHF</t>
        </is>
      </c>
      <c r="C5" s="7">
        <f>C3*'Market Inputs'!C5*(1+'Market Inputs'!C7*'Market Inputs'!C8)</f>
        <v>0</v>
      </c>
      <c r="D5" s="7">
        <f>D3*'Market Inputs'!D5*(1+'Market Inputs'!D7*'Market Inputs'!D8)</f>
        <v>0</v>
      </c>
      <c r="E5" s="7">
        <f>E3*'Market Inputs'!E5*(1+'Market Inputs'!E7*'Market Inputs'!E8)</f>
        <v>0</v>
      </c>
      <c r="F5" s="7">
        <f>F3*'Market Inputs'!F5*(1+'Market Inputs'!F7*'Market Inputs'!F8)</f>
        <v>0</v>
      </c>
      <c r="G5" s="7">
        <f>G3*'Market Inputs'!G5*(1+'Market Inputs'!G7*'Market Inputs'!G8)</f>
        <v>0</v>
      </c>
      <c r="H5" s="7">
        <f>H3*'Market Inputs'!H5*(1+'Market Inputs'!H7*'Market Inputs'!H8)</f>
        <v>0</v>
      </c>
      <c r="I5" s="7">
        <f>I3*'Market Inputs'!I5*(1+'Market Inputs'!I7*'Market Inputs'!I8)</f>
        <v>0</v>
      </c>
      <c r="J5" s="7">
        <f>J3*'Market Inputs'!J5*(1+'Market Inputs'!J7*'Market Inputs'!J8)</f>
        <v>0</v>
      </c>
      <c r="K5" s="7">
        <f>K3*'Market Inputs'!K5*(1+'Market Inputs'!K7*'Market Inputs'!K8)</f>
        <v>0</v>
      </c>
      <c r="L5" s="7">
        <f>L3*'Market Inputs'!L5*(1+'Market Inputs'!L7*'Market Inputs'!L8)</f>
        <v>0</v>
      </c>
    </row>
    <row r="6" ht="18" customHeight="1">
      <c r="A6" s="0" t="inlineStr">
        <is>
          <t xml:space="preserve">Gross margin</t>
        </is>
      </c>
      <c r="B6" s="0" t="inlineStr">
        <is>
          <t xml:space="preserve">CHF</t>
        </is>
      </c>
      <c r="C6" s="7">
        <f>C5-C3*'Market Inputs'!C9-C5*('Market Inputs'!C10+'Market Inputs'!C11)</f>
        <v>0</v>
      </c>
      <c r="D6" s="7">
        <f>D5-D3*'Market Inputs'!D9-D5*('Market Inputs'!D10+'Market Inputs'!D11)</f>
        <v>0</v>
      </c>
      <c r="E6" s="7">
        <f>E5-E3*'Market Inputs'!E9-E5*('Market Inputs'!E10+'Market Inputs'!E11)</f>
        <v>0</v>
      </c>
      <c r="F6" s="7">
        <f>F5-F3*'Market Inputs'!F9-F5*('Market Inputs'!F10+'Market Inputs'!F11)</f>
        <v>0</v>
      </c>
      <c r="G6" s="7">
        <f>G5-G3*'Market Inputs'!G9-G5*('Market Inputs'!G10+'Market Inputs'!G11)</f>
        <v>0</v>
      </c>
      <c r="H6" s="7">
        <f>H5-H3*'Market Inputs'!H9-H5*('Market Inputs'!H10+'Market Inputs'!H11)</f>
        <v>0</v>
      </c>
      <c r="I6" s="7">
        <f>I5-I3*'Market Inputs'!I9-I5*('Market Inputs'!I10+'Market Inputs'!I11)</f>
        <v>0</v>
      </c>
      <c r="J6" s="7">
        <f>J5-J3*'Market Inputs'!J9-J5*('Market Inputs'!J10+'Market Inputs'!J11)</f>
        <v>0</v>
      </c>
      <c r="K6" s="7">
        <f>K5-K3*'Market Inputs'!K9-K5*('Market Inputs'!K10+'Market Inputs'!K11)</f>
        <v>0</v>
      </c>
      <c r="L6" s="7">
        <f>L5-L3*'Market Inputs'!L9-L5*('Market Inputs'!L10+'Market Inputs'!L11)</f>
        <v>0</v>
      </c>
    </row>
    <row r="7" ht="18" customHeight="1">
      <c r="A7" s="0" t="inlineStr">
        <is>
          <t xml:space="preserve">Gross margin %</t>
        </is>
      </c>
      <c r="B7" s="0" t="inlineStr">
        <is>
          <t xml:space="preserve">%</t>
        </is>
      </c>
      <c r="C7" s="6">
        <f>IFERROR(C6/C5,0)</f>
        <v>0</v>
      </c>
      <c r="D7" s="6">
        <f>IFERROR(D6/D5,0)</f>
        <v>0</v>
      </c>
      <c r="E7" s="6">
        <f>IFERROR(E6/E5,0)</f>
        <v>0</v>
      </c>
      <c r="F7" s="6">
        <f>IFERROR(F6/F5,0)</f>
        <v>0</v>
      </c>
      <c r="G7" s="6">
        <f>IFERROR(G6/G5,0)</f>
        <v>0</v>
      </c>
      <c r="H7" s="6">
        <f>IFERROR(H6/H5,0)</f>
        <v>0</v>
      </c>
      <c r="I7" s="6">
        <f>IFERROR(I6/I5,0)</f>
        <v>0</v>
      </c>
      <c r="J7" s="6">
        <f>IFERROR(J6/J5,0)</f>
        <v>0</v>
      </c>
      <c r="K7" s="6">
        <f>IFERROR(K6/K5,0)</f>
        <v>0</v>
      </c>
      <c r="L7" s="6">
        <f>IFERROR(L6/L5,0)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dimension ref="A1:F6"/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</cols>
  <sheetData>
    <row r="1" ht="22" customHeight="1">
      <c r="A1" s="1" t="inlineStr">
        <is>
          <t xml:space="preserve">SKU</t>
        </is>
      </c>
      <c r="B1" s="1" t="inlineStr">
        <is>
          <t xml:space="preserve">Strength</t>
        </is>
      </c>
      <c r="C1" s="1" t="inlineStr">
        <is>
          <t xml:space="preserve">Pack</t>
        </is>
      </c>
      <c r="D1" s="1" t="inlineStr">
        <is>
          <t xml:space="preserve">Volume share</t>
        </is>
      </c>
      <c r="E1" s="1" t="inlineStr">
        <is>
          <t xml:space="preserve">Price</t>
        </is>
      </c>
      <c r="F1" s="1" t="inlineStr">
        <is>
          <t xml:space="preserve">COGS / unit</t>
        </is>
      </c>
    </row>
    <row r="2" ht="18" customHeight="1">
      <c r="A2" s="0" t="inlineStr">
        <is>
          <t xml:space="preserve">SKU 1</t>
        </is>
      </c>
      <c r="D2" s="5">
        <v>0.2</v>
      </c>
      <c r="E2" s="10" t="inlineStr">
        <is>
          <t xml:space="preserve"/>
        </is>
      </c>
      <c r="F2" s="10" t="inlineStr">
        <is>
          <t xml:space="preserve"/>
        </is>
      </c>
    </row>
    <row r="3" ht="18" customHeight="1">
      <c r="A3" s="0" t="inlineStr">
        <is>
          <t xml:space="preserve">SKU 2</t>
        </is>
      </c>
      <c r="D3" s="5" t="inlineStr">
        <is>
          <t xml:space="preserve"/>
        </is>
      </c>
      <c r="E3" s="10" t="inlineStr">
        <is>
          <t xml:space="preserve"/>
        </is>
      </c>
      <c r="F3" s="10" t="inlineStr">
        <is>
          <t xml:space="preserve"/>
        </is>
      </c>
    </row>
    <row r="4" ht="18" customHeight="1">
      <c r="A4" s="0" t="inlineStr">
        <is>
          <t xml:space="preserve">SKU 3</t>
        </is>
      </c>
      <c r="D4" s="5" t="inlineStr">
        <is>
          <t xml:space="preserve"/>
        </is>
      </c>
      <c r="E4" s="10" t="inlineStr">
        <is>
          <t xml:space="preserve"/>
        </is>
      </c>
      <c r="F4" s="10" t="inlineStr">
        <is>
          <t xml:space="preserve"/>
        </is>
      </c>
    </row>
    <row r="5" ht="18" customHeight="1">
      <c r="A5" s="0" t="inlineStr">
        <is>
          <t xml:space="preserve">SKU 4</t>
        </is>
      </c>
      <c r="D5" s="5" t="inlineStr">
        <is>
          <t xml:space="preserve"/>
        </is>
      </c>
      <c r="E5" s="10" t="inlineStr">
        <is>
          <t xml:space="preserve"/>
        </is>
      </c>
      <c r="F5" s="10" t="inlineStr">
        <is>
          <t xml:space="preserve"/>
        </is>
      </c>
    </row>
    <row r="6" ht="18" customHeight="1">
      <c r="A6" s="0" t="inlineStr">
        <is>
          <t xml:space="preserve">SKU 5</t>
        </is>
      </c>
      <c r="D6" s="5" t="inlineStr">
        <is>
          <t xml:space="preserve"/>
        </is>
      </c>
      <c r="E6" s="10" t="inlineStr">
        <is>
          <t xml:space="preserve"/>
        </is>
      </c>
      <c r="F6" s="10" t="inlineStr">
        <is>
          <t xml:space="preserve"/>
        </is>
      </c>
    </row>
  </sheetData>
  <autoFilter ref="A1:F6"/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dimension ref="A1:C5"/>
  <cols>
    <col min="1" max="1" width="14" customWidth="1"/>
    <col min="2" max="2" width="34" customWidth="1"/>
    <col min="3" max="3" width="90" customWidth="1"/>
  </cols>
  <sheetData>
    <row r="1" ht="22" customHeight="1">
      <c r="A1" s="1" t="inlineStr">
        <is>
          <t xml:space="preserve">Status</t>
        </is>
      </c>
      <c r="B1" s="1" t="inlineStr">
        <is>
          <t xml:space="preserve">Check</t>
        </is>
      </c>
      <c r="C1" s="1" t="inlineStr">
        <is>
          <t xml:space="preserve">Detail</t>
        </is>
      </c>
    </row>
    <row r="2" ht="18" customHeight="1">
      <c r="A2" s="8" t="inlineStr">
        <is>
          <t xml:space="preserve">Passed</t>
        </is>
      </c>
      <c r="B2" s="0" t="inlineStr">
        <is>
          <t xml:space="preserve">Forecast period</t>
        </is>
      </c>
      <c r="C2" s="0" t="inlineStr">
        <is>
          <t xml:space="preserve">2022-2031</t>
        </is>
      </c>
    </row>
    <row r="3" ht="18" customHeight="1">
      <c r="A3" s="9" t="inlineStr">
        <is>
          <t xml:space="preserve">Review</t>
        </is>
      </c>
      <c r="B3" s="0" t="inlineStr">
        <is>
          <t xml:space="preserve">Historical data</t>
        </is>
      </c>
      <c r="C3" s="0" t="inlineStr">
        <is>
          <t xml:space="preserve">Populate client-owned market and internal sales history</t>
        </is>
      </c>
    </row>
    <row r="4" ht="18" customHeight="1">
      <c r="A4" s="9" t="inlineStr">
        <is>
          <t xml:space="preserve">Review</t>
        </is>
      </c>
      <c r="B4" s="0" t="inlineStr">
        <is>
          <t xml:space="preserve">Events</t>
        </is>
      </c>
      <c r="C4" s="0" t="inlineStr">
        <is>
          <t xml:space="preserve">Set event impact, probability, and timing</t>
        </is>
      </c>
    </row>
    <row r="5" ht="18" customHeight="1">
      <c r="A5" s="8" t="inlineStr">
        <is>
          <t xml:space="preserve">Passed</t>
        </is>
      </c>
      <c r="B5" s="0" t="inlineStr">
        <is>
          <t xml:space="preserve">Financial conversion</t>
        </is>
      </c>
      <c r="C5" s="0" t="inlineStr">
        <is>
          <t xml:space="preserve">Revenue, COGS, fee, and gross-margin formulas included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Foresight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Model Setup</vt:lpstr>
      <vt:lpstr>Market Inputs</vt:lpstr>
      <vt:lpstr>Forecast Outputs</vt:lpstr>
      <vt:lpstr>SKU Structure</vt:lpstr>
      <vt:lpstr>Validation</vt:lpstr>
    </vt:vector>
  </TitlesOfParts>
  <Company>phamax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Foresight Generated Forecast Model</dc:title>
  <dc:creator>Foresight</dc:creator>
  <cp:lastModifiedBy>Foresight</cp:lastModifiedBy>
  <dcterms:created xsi:type="dcterms:W3CDTF">2026-07-24T08:08:16.195Z</dcterms:created>
  <dcterms:modified xsi:type="dcterms:W3CDTF">2026-07-24T08:08:16.195Z</dcterms:modified>
</cp:coreProperties>
</file>